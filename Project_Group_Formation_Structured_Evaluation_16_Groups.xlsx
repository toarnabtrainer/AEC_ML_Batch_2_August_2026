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Git Backup\2GITHUB\AEC_ML_Batch_2_August_2026\"/>
    </mc:Choice>
  </mc:AlternateContent>
  <xr:revisionPtr revIDLastSave="0" documentId="13_ncr:1_{E201E79A-9A46-4D0F-BAEA-A8C21B2D8E71}" xr6:coauthVersionLast="47" xr6:coauthVersionMax="47" xr10:uidLastSave="{00000000-0000-0000-0000-000000000000}"/>
  <bookViews>
    <workbookView xWindow="-108" yWindow="-108" windowWidth="23256" windowHeight="13896" activeTab="2" xr2:uid="{00000000-000D-0000-FFFF-FFFF00000000}"/>
  </bookViews>
  <sheets>
    <sheet name="Project Groups" sheetId="1" r:id="rId1"/>
    <sheet name="Student Roster" sheetId="2" r:id="rId2"/>
    <sheet name="Evaluation Guide" sheetId="3" r:id="rId3"/>
    <sheet name="Original Dat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" i="1" l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J5" i="1" s="1"/>
  <c r="D5" i="1"/>
  <c r="A5" i="1"/>
  <c r="G5" i="1" l="1"/>
</calcChain>
</file>

<file path=xl/sharedStrings.xml><?xml version="1.0" encoding="utf-8"?>
<sst xmlns="http://schemas.openxmlformats.org/spreadsheetml/2006/main" count="939" uniqueCount="363">
  <si>
    <t>PROJECT GROUP FORMATION &amp; EVALUATION</t>
  </si>
  <si>
    <t>Structured group list for project presentation, demonstration, viva and evaluation</t>
  </si>
  <si>
    <t>Total Groups</t>
  </si>
  <si>
    <t>Total Students</t>
  </si>
  <si>
    <t>Groups Evaluated</t>
  </si>
  <si>
    <t>Average Total Marks</t>
  </si>
  <si>
    <t>Group No.</t>
  </si>
  <si>
    <t>Group ID</t>
  </si>
  <si>
    <t>Department</t>
  </si>
  <si>
    <t>Semester</t>
  </si>
  <si>
    <t>Technology</t>
  </si>
  <si>
    <t>Project Title</t>
  </si>
  <si>
    <t>Member Count</t>
  </si>
  <si>
    <t>Student Names</t>
  </si>
  <si>
    <t>University Roll Numbers</t>
  </si>
  <si>
    <t>Project Quality &amp; Implementation (40)</t>
  </si>
  <si>
    <t>Presentation &amp; Demonstration (30)</t>
  </si>
  <si>
    <t>Viva / Technical Understanding (30)</t>
  </si>
  <si>
    <t>Total Marks (100)</t>
  </si>
  <si>
    <t>PG-01</t>
  </si>
  <si>
    <t>BSDS</t>
  </si>
  <si>
    <t>5th</t>
  </si>
  <si>
    <t>ML with Python</t>
  </si>
  <si>
    <t>Vendor Invoice Intelligence System</t>
  </si>
  <si>
    <t>SAFA MANSOOR
SHRUTI GOSWAMI</t>
  </si>
  <si>
    <t>32240524009
32250424003</t>
  </si>
  <si>
    <t>PG-02</t>
  </si>
  <si>
    <t>BCA</t>
  </si>
  <si>
    <t>FINANCIAL RISK CALCULATOR</t>
  </si>
  <si>
    <t>SOUBHAGYA NARAYAN SEN
SHREYA CHATTARAJ
YASH CHOUDHARY</t>
  </si>
  <si>
    <t>108427240079
108427240073
108427240096</t>
  </si>
  <si>
    <t>PG-03</t>
  </si>
  <si>
    <t>ECE</t>
  </si>
  <si>
    <t>Fake News Detection using Machine Learning</t>
  </si>
  <si>
    <t>Shreya Patra</t>
  </si>
  <si>
    <t>108003240046</t>
  </si>
  <si>
    <t>PG-04</t>
  </si>
  <si>
    <t>Community Signal AI</t>
  </si>
  <si>
    <t>SANTANU DHIBAR</t>
  </si>
  <si>
    <t>108427240067</t>
  </si>
  <si>
    <t>PG-05</t>
  </si>
  <si>
    <t>Medical Insurance Cost Prediction Using ML</t>
  </si>
  <si>
    <t>SIDDHARTHA RAJ
SUBHOJEET PATRA
ABHIRUP DAS
ABHIJEET KUMAR
MD. ASAD AFTAB</t>
  </si>
  <si>
    <t>108003240069
108003240052
108003240003
108003240001
108003240030</t>
  </si>
  <si>
    <t>PG-06</t>
  </si>
  <si>
    <t>AQUACHECK AI (Water Potability Prediction using Machine Learning)</t>
  </si>
  <si>
    <t>Soham De</t>
  </si>
  <si>
    <t>108427240077</t>
  </si>
  <si>
    <t>PG-07</t>
  </si>
  <si>
    <t>AI powered study planner and performance predicitor</t>
  </si>
  <si>
    <t>Subhanki Malik
Ankit kumar Thakur
Pritam Dubey
Souvik Poddar</t>
  </si>
  <si>
    <t>108427240084
108427240012
108427240050
108427240081</t>
  </si>
  <si>
    <t>PG-08</t>
  </si>
  <si>
    <t>CST</t>
  </si>
  <si>
    <t>Fashion Recommender System</t>
  </si>
  <si>
    <t>Khushi Singh
Harsh Raunak Tiwary</t>
  </si>
  <si>
    <t>108321240013
108321240012</t>
  </si>
  <si>
    <t>PG-09</t>
  </si>
  <si>
    <t>CSBS, BCA</t>
  </si>
  <si>
    <t>Predictive Modelling Of Student Dropout Risk.</t>
  </si>
  <si>
    <t>Swastika Banerjee
Kaushikee Karmakar
Kripa Das
Ankita Kundu</t>
  </si>
  <si>
    <t>108311240024
108427240030
108311240009
108427240013</t>
  </si>
  <si>
    <t>PG-10</t>
  </si>
  <si>
    <t>CDBS</t>
  </si>
  <si>
    <t>Machine Learning Based Stock Market Analysis and Price Movement Prediction System</t>
  </si>
  <si>
    <t>Aastha Baranwal
Barsha Shaw
Manish Kumar Sharma
Md. Arbaaz Faridi
Nikhil Kumar Rai
Captain Singh</t>
  </si>
  <si>
    <t>108311240001
108311240006
108311240010
108311240012
108311240001
108311240007</t>
  </si>
  <si>
    <t>PG-11</t>
  </si>
  <si>
    <t>Air Quality Prediction</t>
  </si>
  <si>
    <t>Adrija Sadhu
Debanjan Majumder
Aakriti Krishna
Aditi Khan
Rishika Gupta</t>
  </si>
  <si>
    <t>108321240004
108321240010
108321240001
108321240003
108321251005</t>
  </si>
  <si>
    <t>PG-12</t>
  </si>
  <si>
    <t>Machine Learning Weather Prediction – Forecasting the Future</t>
  </si>
  <si>
    <t>ANANYA  DEOGHARIA
TAHSIN FATIMA
Alisha Shaw
Moumita Gorai
Ayushika Shaw
Naman gawri</t>
  </si>
  <si>
    <t>108427240011
108427240091
108427240098
108427240041
108427240019
108427240043</t>
  </si>
  <si>
    <t>PG-13</t>
  </si>
  <si>
    <t>"HandLex" - Sign Language Translations</t>
  </si>
  <si>
    <t>Prachi Shaw
Ritika Mandal</t>
  </si>
  <si>
    <t>108427240048
108427240057</t>
  </si>
  <si>
    <t>PG-14</t>
  </si>
  <si>
    <t>BSC (DS)</t>
  </si>
  <si>
    <t>Phising website detection using machine learning</t>
  </si>
  <si>
    <t>Ankit kumar singh</t>
  </si>
  <si>
    <t>32240524029</t>
  </si>
  <si>
    <t>PG-15</t>
  </si>
  <si>
    <t>Network Intrusion Detection</t>
  </si>
  <si>
    <t>Aditya Sankar Pal
Anwesh Mishra
Deep Gorai
Aman Quraishi
Nayantara Ghosh
Nandini Mondal</t>
  </si>
  <si>
    <t>108427240008
108427240016
108424740024
108427240009
108427240045
108427240044</t>
  </si>
  <si>
    <t>PG-16</t>
  </si>
  <si>
    <t>Predictive Model for Diabetes Detection</t>
  </si>
  <si>
    <t>MD SAHIL JAMIR ANSARI</t>
  </si>
  <si>
    <t>108427240037</t>
  </si>
  <si>
    <t>STUDENT ROSTER BY PROJECT GROUP</t>
  </si>
  <si>
    <t>One student per row • 16 groups • 50 students</t>
  </si>
  <si>
    <t>University Roll Number</t>
  </si>
  <si>
    <t>Student Name</t>
  </si>
  <si>
    <t>Email ID</t>
  </si>
  <si>
    <t>Contact Number</t>
  </si>
  <si>
    <t>32240524009</t>
  </si>
  <si>
    <t>SAFA MANSOOR</t>
  </si>
  <si>
    <t>safamansoor6492@gmail.com</t>
  </si>
  <si>
    <t>8250467289</t>
  </si>
  <si>
    <t>32250424003</t>
  </si>
  <si>
    <t>SHRUTI GOSWAMI</t>
  </si>
  <si>
    <t>shruti2004goswami@gmail.com</t>
  </si>
  <si>
    <t>7763090210</t>
  </si>
  <si>
    <t>108427240079</t>
  </si>
  <si>
    <t>SOUBHAGYA NARAYAN SEN</t>
  </si>
  <si>
    <t>soubhagyasen.suri@gmail.com</t>
  </si>
  <si>
    <t>6296859209</t>
  </si>
  <si>
    <t>108427240073</t>
  </si>
  <si>
    <t>SHREYA CHATTARAJ</t>
  </si>
  <si>
    <t>shreyachattaraj3@gmail.com</t>
  </si>
  <si>
    <t>8942895690</t>
  </si>
  <si>
    <t>108427240096</t>
  </si>
  <si>
    <t>YASH CHOUDHARY</t>
  </si>
  <si>
    <t>yashchdh17@gmail.com</t>
  </si>
  <si>
    <t>8116777544</t>
  </si>
  <si>
    <t>aec.ece.shreyapatra.2028.046</t>
  </si>
  <si>
    <t>9475018629</t>
  </si>
  <si>
    <t>santanudhibar940@gmail.com</t>
  </si>
  <si>
    <t>8391088159</t>
  </si>
  <si>
    <t>108003240069</t>
  </si>
  <si>
    <t>SIDDHARTHA RAJ</t>
  </si>
  <si>
    <t>aec.ece.siddhartharaj.2028.069@gmail.com</t>
  </si>
  <si>
    <t>9304151062</t>
  </si>
  <si>
    <t>108003240052</t>
  </si>
  <si>
    <t>SUBHOJEET PATRA</t>
  </si>
  <si>
    <t>subhojeetpatra7@gmail.com</t>
  </si>
  <si>
    <t>7872695287</t>
  </si>
  <si>
    <t>108003240003</t>
  </si>
  <si>
    <t>ABHIRUP DAS</t>
  </si>
  <si>
    <t>abhirup376@gmail.com</t>
  </si>
  <si>
    <t>9339583058</t>
  </si>
  <si>
    <t>108003240001</t>
  </si>
  <si>
    <t>ABHIJEET KUMAR</t>
  </si>
  <si>
    <t>abhi8102kr@gmail.com</t>
  </si>
  <si>
    <t>8102670618</t>
  </si>
  <si>
    <t>108003240030</t>
  </si>
  <si>
    <t>MD. ASAD AFTAB</t>
  </si>
  <si>
    <t>asadaftab1763@gmail.com</t>
  </si>
  <si>
    <t>6207929936</t>
  </si>
  <si>
    <t>sagar963456@gmail.com</t>
  </si>
  <si>
    <t>9064545260</t>
  </si>
  <si>
    <t>108427240084</t>
  </si>
  <si>
    <t>Subhanki Malik</t>
  </si>
  <si>
    <t>maliksubhanki@gmail.com</t>
  </si>
  <si>
    <t>8918564881</t>
  </si>
  <si>
    <t>108427240012</t>
  </si>
  <si>
    <t>Ankit kumar Thakur</t>
  </si>
  <si>
    <t>thakurani0017@gmail.com</t>
  </si>
  <si>
    <t>8372819050</t>
  </si>
  <si>
    <t>108427240050</t>
  </si>
  <si>
    <t>Pritam Dubey</t>
  </si>
  <si>
    <t>pritamdubey440@gmail.com</t>
  </si>
  <si>
    <t>9907838892</t>
  </si>
  <si>
    <t>108427240081</t>
  </si>
  <si>
    <t>Souvik Poddar</t>
  </si>
  <si>
    <t>poddarsouvik03@gmail.com</t>
  </si>
  <si>
    <t>9093091618</t>
  </si>
  <si>
    <t>108321240013</t>
  </si>
  <si>
    <t>Khushi Singh</t>
  </si>
  <si>
    <t>khushisingh94727979@gmail.com</t>
  </si>
  <si>
    <t>8271823618</t>
  </si>
  <si>
    <t>108321240012</t>
  </si>
  <si>
    <t>Harsh Raunak Tiwary</t>
  </si>
  <si>
    <t>harshraunaktiwary@gmail.com</t>
  </si>
  <si>
    <t>9229979769</t>
  </si>
  <si>
    <t>108311240024</t>
  </si>
  <si>
    <t>Swastika Banerjee</t>
  </si>
  <si>
    <t>aec.csbs.swastikabanerjee@gmail.com</t>
  </si>
  <si>
    <t>7548970513</t>
  </si>
  <si>
    <t>108427240030</t>
  </si>
  <si>
    <t>Kaushikee Karmakar</t>
  </si>
  <si>
    <t>kaushikeekarmakar@gmail.com</t>
  </si>
  <si>
    <t>8345848432</t>
  </si>
  <si>
    <t>108311240009</t>
  </si>
  <si>
    <t>Kripa Das</t>
  </si>
  <si>
    <t>daskripa071@gmail.com</t>
  </si>
  <si>
    <t>7319546501</t>
  </si>
  <si>
    <t>108427240013</t>
  </si>
  <si>
    <t>Ankita Kundu</t>
  </si>
  <si>
    <t>ankitahere633@gmail.com</t>
  </si>
  <si>
    <t>6296916217</t>
  </si>
  <si>
    <t>108311240001</t>
  </si>
  <si>
    <t>Aastha Baranwal</t>
  </si>
  <si>
    <t>baranwalaastha0@gmail.com</t>
  </si>
  <si>
    <t>7001402600</t>
  </si>
  <si>
    <t>108311240006</t>
  </si>
  <si>
    <t>Barsha Shaw</t>
  </si>
  <si>
    <t>barshashaw160206@gmail.com</t>
  </si>
  <si>
    <t>7810849245</t>
  </si>
  <si>
    <t>108311240010</t>
  </si>
  <si>
    <t>Manish Kumar Sharma</t>
  </si>
  <si>
    <t>tmanishthakur0.1@gmail.com</t>
  </si>
  <si>
    <t>6205521815</t>
  </si>
  <si>
    <t>108311240012</t>
  </si>
  <si>
    <t>Md. Arbaaz Faridi</t>
  </si>
  <si>
    <t>iamakss7860@gmail.com</t>
  </si>
  <si>
    <t>6201563389</t>
  </si>
  <si>
    <t>Nikhil Kumar Rai</t>
  </si>
  <si>
    <t>nr1207932@gmail.com</t>
  </si>
  <si>
    <t>8804540940</t>
  </si>
  <si>
    <t>108311240007</t>
  </si>
  <si>
    <t>Captain Singh</t>
  </si>
  <si>
    <t>singhcaptain09876@gmail.com</t>
  </si>
  <si>
    <t>9641047967</t>
  </si>
  <si>
    <t>108321240004</t>
  </si>
  <si>
    <t>Adrija Sadhu</t>
  </si>
  <si>
    <t>adrijasadhu17@gmail.com</t>
  </si>
  <si>
    <t>9064127892</t>
  </si>
  <si>
    <t>108321240010</t>
  </si>
  <si>
    <t>Debanjan Majumder</t>
  </si>
  <si>
    <t>debanjanmajumder565@gmail.com</t>
  </si>
  <si>
    <t>8617869574</t>
  </si>
  <si>
    <t>108321240001</t>
  </si>
  <si>
    <t>Aakriti Krishna</t>
  </si>
  <si>
    <t>aec.cst.2024.aakritikrishna@gmail.com</t>
  </si>
  <si>
    <t>9905581935</t>
  </si>
  <si>
    <t>108321240003</t>
  </si>
  <si>
    <t>Aditi Khan</t>
  </si>
  <si>
    <t>aditikhan792@gmail.com</t>
  </si>
  <si>
    <t>9798503864</t>
  </si>
  <si>
    <t>108321251005</t>
  </si>
  <si>
    <t>Rishika Gupta</t>
  </si>
  <si>
    <t>rishika.gupta.3235151@gmail.com</t>
  </si>
  <si>
    <t>8167854350</t>
  </si>
  <si>
    <t>108427240011</t>
  </si>
  <si>
    <t>ANANYA  DEOGHARIA</t>
  </si>
  <si>
    <t>ananyadeogharia524@gmail.com</t>
  </si>
  <si>
    <t>8158860063</t>
  </si>
  <si>
    <t>108427240091</t>
  </si>
  <si>
    <t>TAHSIN FATIMA</t>
  </si>
  <si>
    <t>tahsinmallick68@gmail.com</t>
  </si>
  <si>
    <t>9641019321</t>
  </si>
  <si>
    <t>108427240098</t>
  </si>
  <si>
    <t>Alisha Shaw</t>
  </si>
  <si>
    <t>Shawalisha129@gmail.com</t>
  </si>
  <si>
    <t>6297505671</t>
  </si>
  <si>
    <t>108427240041</t>
  </si>
  <si>
    <t>Moumita Gorai</t>
  </si>
  <si>
    <t>moumitagorai14@gmail.com</t>
  </si>
  <si>
    <t>9064113188</t>
  </si>
  <si>
    <t>108427240019</t>
  </si>
  <si>
    <t>Ayushika Shaw</t>
  </si>
  <si>
    <t>ayushikashaw14@gmail</t>
  </si>
  <si>
    <t>7076972329</t>
  </si>
  <si>
    <t>108427240043</t>
  </si>
  <si>
    <t>Naman gawri</t>
  </si>
  <si>
    <t>gawrinaman1234@gmail.com</t>
  </si>
  <si>
    <t>8509849886</t>
  </si>
  <si>
    <t>108427240048</t>
  </si>
  <si>
    <t>Prachi Shaw</t>
  </si>
  <si>
    <t>prachishaw.asansol@gmail.com</t>
  </si>
  <si>
    <t>9002757086</t>
  </si>
  <si>
    <t>108427240057</t>
  </si>
  <si>
    <t>Ritika Mandal</t>
  </si>
  <si>
    <t>ritika.mondal0808@gmail.com</t>
  </si>
  <si>
    <t>2617524445</t>
  </si>
  <si>
    <t>as5754242@gmail.com</t>
  </si>
  <si>
    <t>9434358535</t>
  </si>
  <si>
    <t>108427240008</t>
  </si>
  <si>
    <t>Aditya Sankar Pal</t>
  </si>
  <si>
    <t>adityaspal2004@gmail.com</t>
  </si>
  <si>
    <t>8250981492</t>
  </si>
  <si>
    <t>108427240016</t>
  </si>
  <si>
    <t>Anwesh Mishra</t>
  </si>
  <si>
    <t>anweshmishra731@gmail.com</t>
  </si>
  <si>
    <t>8918709847</t>
  </si>
  <si>
    <t>108424740024</t>
  </si>
  <si>
    <t>Deep Gorai</t>
  </si>
  <si>
    <t>deepgorai575@gmail.com</t>
  </si>
  <si>
    <t>7865863049</t>
  </si>
  <si>
    <t>108427240009</t>
  </si>
  <si>
    <t>Aman Quraishi</t>
  </si>
  <si>
    <t>amanquraishi4542@gmail.com</t>
  </si>
  <si>
    <t>9083210536</t>
  </si>
  <si>
    <t>108427240045</t>
  </si>
  <si>
    <t>Nayantara Ghosh</t>
  </si>
  <si>
    <t>nayantaraghosh06@gmail.com</t>
  </si>
  <si>
    <t>7001928311</t>
  </si>
  <si>
    <t>108427240044</t>
  </si>
  <si>
    <t>Nandini Mondal</t>
  </si>
  <si>
    <t>mondalrajnandini008@gmail.com</t>
  </si>
  <si>
    <t>9907310344</t>
  </si>
  <si>
    <t>sahilansari4590@gmail.com</t>
  </si>
  <si>
    <t>8092675904</t>
  </si>
  <si>
    <t>PROJECT EVALUATION GUIDE</t>
  </si>
  <si>
    <t>Enter marks only in the yellow cells on the Project Groups sheet. Total marks are calculated automatically after all three criteria are entered.</t>
  </si>
  <si>
    <t>Assessment Criterion</t>
  </si>
  <si>
    <t>Maximum Marks</t>
  </si>
  <si>
    <t>What to Evaluate</t>
  </si>
  <si>
    <t>Suggested Scoring Reference</t>
  </si>
  <si>
    <t>Project Quality &amp; Implementation</t>
  </si>
  <si>
    <t>Problem relevance, data preparation, methodology, solution or model design, correctness, functionality, completeness and implementation quality.</t>
  </si>
  <si>
    <t>Excellent: 34–40 | Good: 28–33 | Satisfactory: 20–27 | Needs improvement: 0–19</t>
  </si>
  <si>
    <t>Presentation &amp; Demonstration</t>
  </si>
  <si>
    <t>Logical structure, clarity, visual quality, time management, balanced participation and successful demonstration of results.</t>
  </si>
  <si>
    <t>Excellent: 26–30 | Good: 21–25 | Satisfactory: 15–20 | Needs improvement: 0–14</t>
  </si>
  <si>
    <t>Viva / Technical Understanding</t>
  </si>
  <si>
    <t>Conceptual depth, technical justification, ability to answer questions, individual ownership, limitations and future scope.</t>
  </si>
  <si>
    <t>TOTAL</t>
  </si>
  <si>
    <t>The total is the sum of all three assessment criteria.</t>
  </si>
  <si>
    <t>Calculated automatically in the Project Groups sheet.</t>
  </si>
  <si>
    <t>OVERALL PERFORMANCE BANDS</t>
  </si>
  <si>
    <t>Total Marks</t>
  </si>
  <si>
    <t>Performance Band</t>
  </si>
  <si>
    <t>General Interpretation</t>
  </si>
  <si>
    <t>Suggested Action</t>
  </si>
  <si>
    <t>85–100</t>
  </si>
  <si>
    <t>Excellent</t>
  </si>
  <si>
    <t>Outstanding project quality and strong technical ownership.</t>
  </si>
  <si>
    <t>Recognize as exemplary work.</t>
  </si>
  <si>
    <t>70–84</t>
  </si>
  <si>
    <t>Very Good</t>
  </si>
  <si>
    <t>Strong work with only minor gaps.</t>
  </si>
  <si>
    <t>Provide targeted refinement feedback.</t>
  </si>
  <si>
    <t>55–69</t>
  </si>
  <si>
    <t>Good / Satisfactory</t>
  </si>
  <si>
    <t>Core requirements met with visible improvement areas.</t>
  </si>
  <si>
    <t>Recommend specific improvements.</t>
  </si>
  <si>
    <t>40–54</t>
  </si>
  <si>
    <t>Needs Improvement</t>
  </si>
  <si>
    <t>Partial understanding or incomplete execution.</t>
  </si>
  <si>
    <t>Require corrective improvements.</t>
  </si>
  <si>
    <t>Below 40</t>
  </si>
  <si>
    <t>Unsatisfactory</t>
  </si>
  <si>
    <t>Major deficiencies in execution, presentation or understanding.</t>
  </si>
  <si>
    <t>Consider re-evaluation after revision.</t>
  </si>
  <si>
    <t>Group Number</t>
  </si>
  <si>
    <t>Start time</t>
  </si>
  <si>
    <t>Completion time</t>
  </si>
  <si>
    <t>Email</t>
  </si>
  <si>
    <t>Name</t>
  </si>
  <si>
    <t>Enter Department</t>
  </si>
  <si>
    <t>Enter Semester number</t>
  </si>
  <si>
    <t>Enter Technology of your Project</t>
  </si>
  <si>
    <t>Enter Selected Project Title</t>
  </si>
  <si>
    <t>Enter University Roll Number</t>
  </si>
  <si>
    <t>Enter Name</t>
  </si>
  <si>
    <t>Enter Email ID</t>
  </si>
  <si>
    <t>Enter Contact Number</t>
  </si>
  <si>
    <t>Enter University Roll Number2</t>
  </si>
  <si>
    <t>Enter Name2</t>
  </si>
  <si>
    <t>Enter Email ID2</t>
  </si>
  <si>
    <t>Enter Contact Number2</t>
  </si>
  <si>
    <t>Enter University Roll Number3</t>
  </si>
  <si>
    <t>Enter Name3</t>
  </si>
  <si>
    <t>Enter Email ID3</t>
  </si>
  <si>
    <t>Enter Contact Number3</t>
  </si>
  <si>
    <t>Enter University Roll Number4</t>
  </si>
  <si>
    <t>Enter Name4</t>
  </si>
  <si>
    <t>Enter Email ID4</t>
  </si>
  <si>
    <t>Enter Contact Number4</t>
  </si>
  <si>
    <t>Enter University Roll Number5</t>
  </si>
  <si>
    <t>Enter Name5</t>
  </si>
  <si>
    <t>Enter Email ID5</t>
  </si>
  <si>
    <t>Enter Contact Number5</t>
  </si>
  <si>
    <t>Enter University Roll Number6</t>
  </si>
  <si>
    <t>Enter Name6</t>
  </si>
  <si>
    <t>Enter Email ID6</t>
  </si>
  <si>
    <t>Enter Contact Number6</t>
  </si>
  <si>
    <t>anonymous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</si>
</sst>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\ hh:mm"/>
  </numFmts>
  <fonts count="10">
    <font>
      <sz val="11"/>
      <name val="Carlito"/>
    </font>
    <font>
      <b/>
      <sz val="18"/>
      <color rgb="FFFFFFFF"/>
      <name val="Carlito"/>
    </font>
    <font>
      <i/>
      <sz val="11"/>
      <color rgb="FF595959"/>
      <name val="Carlito"/>
    </font>
    <font>
      <b/>
      <sz val="10"/>
      <color rgb="FFFFFFFF"/>
      <name val="Carlito"/>
    </font>
    <font>
      <b/>
      <sz val="16"/>
      <color rgb="FF1F4E78"/>
      <name val="Carlito"/>
    </font>
    <font>
      <b/>
      <sz val="11"/>
      <color rgb="FF1F4E78"/>
      <name val="Carlito"/>
    </font>
    <font>
      <b/>
      <sz val="17"/>
      <color rgb="FFFFFFFF"/>
      <name val="Carlito"/>
    </font>
    <font>
      <b/>
      <sz val="11"/>
      <color rgb="FF595959"/>
      <name val="Carlito"/>
    </font>
    <font>
      <b/>
      <sz val="11"/>
      <color rgb="FFFFFFFF"/>
      <name val="Carlito"/>
    </font>
    <font>
      <b/>
      <sz val="9"/>
      <color rgb="FFFFFFFF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2F2F2"/>
      </patternFill>
    </fill>
    <fill>
      <patternFill patternType="solid">
        <fgColor rgb="FF2F75B5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2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2" fontId="0" fillId="8" borderId="0" xfId="0" applyNumberFormat="1" applyFill="1" applyAlignment="1">
      <alignment horizontal="center" vertical="center" wrapText="1"/>
    </xf>
    <xf numFmtId="2" fontId="5" fillId="9" borderId="0" xfId="0" applyNumberFormat="1" applyFont="1" applyFill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top" wrapText="1"/>
    </xf>
    <xf numFmtId="0" fontId="5" fillId="9" borderId="0" xfId="0" applyFont="1" applyFill="1" applyAlignment="1">
      <alignment vertical="center" wrapText="1"/>
    </xf>
    <xf numFmtId="0" fontId="8" fillId="5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164" fontId="0" fillId="0" borderId="0" xfId="0" applyNumberFormat="1" applyAlignment="1">
      <alignment vertical="center" wrapText="1"/>
    </xf>
    <xf numFmtId="1" fontId="0" fillId="0" borderId="0" xfId="0" applyNumberFormat="1" applyAlignment="1">
      <alignment vertical="center" wrapText="1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2" fontId="4" fillId="4" borderId="0" xfId="0" applyNumberFormat="1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 vertical="center" wrapText="1"/>
    </xf>
    <xf numFmtId="0" fontId="8" fillId="5" borderId="0" xfId="0" applyFont="1" applyFill="1" applyAlignment="1">
      <alignment horizontal="center" vertical="center"/>
    </xf>
  </cellXfs>
  <cellStyles count="1">
    <cellStyle name="Normal" xfId="0" builtinId="0"/>
  </cellStyles>
  <dxfs count="3">
    <dxf>
      <font>
        <b/>
        <color rgb="FF006100"/>
      </font>
      <fill>
        <patternFill patternType="solid">
          <bgColor rgb="FFD9EAD3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jectGroupsTable" displayName="ProjectGroupsTable" ref="A7:M23" totalsRowShown="0">
  <tableColumns count="13">
    <tableColumn id="1" xr3:uid="{00000000-0010-0000-0000-000001000000}" name="Group No."/>
    <tableColumn id="2" xr3:uid="{00000000-0010-0000-0000-000002000000}" name="Group ID"/>
    <tableColumn id="3" xr3:uid="{00000000-0010-0000-0000-000003000000}" name="Department"/>
    <tableColumn id="4" xr3:uid="{00000000-0010-0000-0000-000004000000}" name="Semester"/>
    <tableColumn id="5" xr3:uid="{00000000-0010-0000-0000-000005000000}" name="Technology"/>
    <tableColumn id="6" xr3:uid="{00000000-0010-0000-0000-000006000000}" name="Project Title"/>
    <tableColumn id="7" xr3:uid="{00000000-0010-0000-0000-000007000000}" name="Member Count"/>
    <tableColumn id="8" xr3:uid="{00000000-0010-0000-0000-000008000000}" name="Student Names"/>
    <tableColumn id="9" xr3:uid="{00000000-0010-0000-0000-000009000000}" name="University Roll Numbers"/>
    <tableColumn id="10" xr3:uid="{00000000-0010-0000-0000-00000A000000}" name="Project Quality &amp; Implementation (40)"/>
    <tableColumn id="11" xr3:uid="{00000000-0010-0000-0000-00000B000000}" name="Presentation &amp; Demonstration (30)"/>
    <tableColumn id="12" xr3:uid="{00000000-0010-0000-0000-00000C000000}" name="Viva / Technical Understanding (30)"/>
    <tableColumn id="13" xr3:uid="{00000000-0010-0000-0000-00000D000000}" name="Total Marks (100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tudentRosterTable" displayName="StudentRosterTable" ref="A4:J54" totalsRowShown="0">
  <tableColumns count="10">
    <tableColumn id="1" xr3:uid="{00000000-0010-0000-0100-000001000000}" name="Group ID"/>
    <tableColumn id="2" xr3:uid="{00000000-0010-0000-0100-000002000000}" name="Group No."/>
    <tableColumn id="3" xr3:uid="{00000000-0010-0000-0100-000003000000}" name="Department"/>
    <tableColumn id="4" xr3:uid="{00000000-0010-0000-0100-000004000000}" name="Semester"/>
    <tableColumn id="5" xr3:uid="{00000000-0010-0000-0100-000005000000}" name="Technology"/>
    <tableColumn id="6" xr3:uid="{00000000-0010-0000-0100-000006000000}" name="Project Title"/>
    <tableColumn id="7" xr3:uid="{00000000-0010-0000-0100-000007000000}" name="University Roll Number"/>
    <tableColumn id="8" xr3:uid="{00000000-0010-0000-0100-000008000000}" name="Student Name"/>
    <tableColumn id="9" xr3:uid="{00000000-0010-0000-0100-000009000000}" name="Email ID"/>
    <tableColumn id="10" xr3:uid="{00000000-0010-0000-0100-00000A000000}" name="Contact Numbe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valuationCriteriaTable" displayName="EvaluationCriteriaTable" ref="A4:D8" totalsRowShown="0">
  <tableColumns count="4">
    <tableColumn id="1" xr3:uid="{00000000-0010-0000-0200-000001000000}" name="Assessment Criterion"/>
    <tableColumn id="2" xr3:uid="{00000000-0010-0000-0200-000002000000}" name="Maximum Marks"/>
    <tableColumn id="3" xr3:uid="{00000000-0010-0000-0200-000003000000}" name="What to Evaluate"/>
    <tableColumn id="4" xr3:uid="{00000000-0010-0000-0200-000004000000}" name="Suggested Scoring Referenc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erformanceBandsTable" displayName="PerformanceBandsTable" ref="A11:D16" totalsRowShown="0">
  <tableColumns count="4">
    <tableColumn id="1" xr3:uid="{00000000-0010-0000-0300-000001000000}" name="Total Marks"/>
    <tableColumn id="2" xr3:uid="{00000000-0010-0000-0300-000002000000}" name="Performance Band"/>
    <tableColumn id="3" xr3:uid="{00000000-0010-0000-0300-000003000000}" name="General Interpretation"/>
    <tableColumn id="4" xr3:uid="{00000000-0010-0000-0300-000004000000}" name="Suggested Acti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OriginalDataTable" displayName="OriginalDataTable" ref="A1:AG17" totalsRowShown="0">
  <tableColumns count="33">
    <tableColumn id="1" xr3:uid="{00000000-0010-0000-0400-000001000000}" name="Group Number"/>
    <tableColumn id="2" xr3:uid="{00000000-0010-0000-0400-000002000000}" name="Start time"/>
    <tableColumn id="3" xr3:uid="{00000000-0010-0000-0400-000003000000}" name="Completion time"/>
    <tableColumn id="4" xr3:uid="{00000000-0010-0000-0400-000004000000}" name="Email"/>
    <tableColumn id="5" xr3:uid="{00000000-0010-0000-0400-000005000000}" name="Name"/>
    <tableColumn id="6" xr3:uid="{00000000-0010-0000-0400-000006000000}" name="Enter Department"/>
    <tableColumn id="7" xr3:uid="{00000000-0010-0000-0400-000007000000}" name="Enter Semester number"/>
    <tableColumn id="8" xr3:uid="{00000000-0010-0000-0400-000008000000}" name="Enter Technology of your Project"/>
    <tableColumn id="9" xr3:uid="{00000000-0010-0000-0400-000009000000}" name="Enter Selected Project Title"/>
    <tableColumn id="10" xr3:uid="{00000000-0010-0000-0400-00000A000000}" name="Enter University Roll Number"/>
    <tableColumn id="11" xr3:uid="{00000000-0010-0000-0400-00000B000000}" name="Enter Name"/>
    <tableColumn id="12" xr3:uid="{00000000-0010-0000-0400-00000C000000}" name="Enter Email ID"/>
    <tableColumn id="13" xr3:uid="{00000000-0010-0000-0400-00000D000000}" name="Enter Contact Number"/>
    <tableColumn id="14" xr3:uid="{00000000-0010-0000-0400-00000E000000}" name="Enter University Roll Number2"/>
    <tableColumn id="15" xr3:uid="{00000000-0010-0000-0400-00000F000000}" name="Enter Name2"/>
    <tableColumn id="16" xr3:uid="{00000000-0010-0000-0400-000010000000}" name="Enter Email ID2"/>
    <tableColumn id="17" xr3:uid="{00000000-0010-0000-0400-000011000000}" name="Enter Contact Number2"/>
    <tableColumn id="18" xr3:uid="{00000000-0010-0000-0400-000012000000}" name="Enter University Roll Number3"/>
    <tableColumn id="19" xr3:uid="{00000000-0010-0000-0400-000013000000}" name="Enter Name3"/>
    <tableColumn id="20" xr3:uid="{00000000-0010-0000-0400-000014000000}" name="Enter Email ID3"/>
    <tableColumn id="21" xr3:uid="{00000000-0010-0000-0400-000015000000}" name="Enter Contact Number3"/>
    <tableColumn id="22" xr3:uid="{00000000-0010-0000-0400-000016000000}" name="Enter University Roll Number4"/>
    <tableColumn id="23" xr3:uid="{00000000-0010-0000-0400-000017000000}" name="Enter Name4"/>
    <tableColumn id="24" xr3:uid="{00000000-0010-0000-0400-000018000000}" name="Enter Email ID4"/>
    <tableColumn id="25" xr3:uid="{00000000-0010-0000-0400-000019000000}" name="Enter Contact Number4"/>
    <tableColumn id="26" xr3:uid="{00000000-0010-0000-0400-00001A000000}" name="Enter University Roll Number5"/>
    <tableColumn id="27" xr3:uid="{00000000-0010-0000-0400-00001B000000}" name="Enter Name5"/>
    <tableColumn id="28" xr3:uid="{00000000-0010-0000-0400-00001C000000}" name="Enter Email ID5"/>
    <tableColumn id="29" xr3:uid="{00000000-0010-0000-0400-00001D000000}" name="Enter Contact Number5"/>
    <tableColumn id="30" xr3:uid="{00000000-0010-0000-0400-00001E000000}" name="Enter University Roll Number6"/>
    <tableColumn id="31" xr3:uid="{00000000-0010-0000-0400-00001F000000}" name="Enter Name6"/>
    <tableColumn id="32" xr3:uid="{00000000-0010-0000-0400-000020000000}" name="Enter Email ID6"/>
    <tableColumn id="33" xr3:uid="{00000000-0010-0000-0400-000021000000}" name="Enter Contact Number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3"/>
  <sheetViews>
    <sheetView workbookViewId="0">
      <selection sqref="A1:M1"/>
    </sheetView>
  </sheetViews>
  <sheetFormatPr defaultRowHeight="13.8"/>
  <cols>
    <col min="1" max="1" width="10" customWidth="1"/>
    <col min="2" max="2" width="11" customWidth="1"/>
    <col min="3" max="3" width="15" customWidth="1"/>
    <col min="4" max="4" width="11" customWidth="1"/>
    <col min="5" max="5" width="18" customWidth="1"/>
    <col min="6" max="6" width="42" customWidth="1"/>
    <col min="7" max="7" width="12" customWidth="1"/>
    <col min="8" max="8" width="28" customWidth="1"/>
    <col min="9" max="9" width="22" customWidth="1"/>
    <col min="10" max="11" width="18" customWidth="1"/>
    <col min="12" max="12" width="20" customWidth="1"/>
    <col min="13" max="13" width="15" customWidth="1"/>
  </cols>
  <sheetData>
    <row r="1" spans="1:13" ht="25.65" customHeight="1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13" ht="17.55" customHeight="1">
      <c r="A2" s="16" t="s">
        <v>1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</row>
    <row r="4" spans="1:13" ht="16.05" customHeight="1">
      <c r="A4" s="17" t="s">
        <v>2</v>
      </c>
      <c r="B4" s="17"/>
      <c r="C4" s="17"/>
      <c r="D4" s="19" t="s">
        <v>3</v>
      </c>
      <c r="E4" s="19"/>
      <c r="F4" s="19"/>
      <c r="G4" s="20" t="s">
        <v>4</v>
      </c>
      <c r="H4" s="20"/>
      <c r="I4" s="20"/>
      <c r="J4" s="21" t="s">
        <v>5</v>
      </c>
      <c r="K4" s="21"/>
      <c r="L4" s="21"/>
      <c r="M4" s="21"/>
    </row>
    <row r="5" spans="1:13" ht="22.35" customHeight="1">
      <c r="A5" s="18">
        <f>COUNTA(A8:A23)</f>
        <v>16</v>
      </c>
      <c r="B5" s="18"/>
      <c r="C5" s="18"/>
      <c r="D5" s="18">
        <f>SUM(G8:G23)</f>
        <v>50</v>
      </c>
      <c r="E5" s="18"/>
      <c r="F5" s="18"/>
      <c r="G5" s="18">
        <f>COUNT(M8:M23)</f>
        <v>0</v>
      </c>
      <c r="H5" s="18"/>
      <c r="I5" s="18"/>
      <c r="J5" s="22" t="str">
        <f>IFERROR(AVERAGE(M8:M23),"")</f>
        <v/>
      </c>
      <c r="K5" s="22"/>
      <c r="L5" s="22"/>
      <c r="M5" s="22"/>
    </row>
    <row r="7" spans="1:13" ht="35.25" customHeight="1">
      <c r="A7" s="1" t="s">
        <v>6</v>
      </c>
      <c r="B7" s="1" t="s">
        <v>7</v>
      </c>
      <c r="C7" s="1" t="s">
        <v>8</v>
      </c>
      <c r="D7" s="1" t="s">
        <v>9</v>
      </c>
      <c r="E7" s="1" t="s">
        <v>10</v>
      </c>
      <c r="F7" s="1" t="s">
        <v>11</v>
      </c>
      <c r="G7" s="1" t="s">
        <v>12</v>
      </c>
      <c r="H7" s="1" t="s">
        <v>13</v>
      </c>
      <c r="I7" s="1" t="s">
        <v>14</v>
      </c>
      <c r="J7" s="1" t="s">
        <v>15</v>
      </c>
      <c r="K7" s="1" t="s">
        <v>16</v>
      </c>
      <c r="L7" s="1" t="s">
        <v>17</v>
      </c>
      <c r="M7" s="1" t="s">
        <v>18</v>
      </c>
    </row>
    <row r="8" spans="1:13" ht="38.4" customHeight="1">
      <c r="A8" s="3">
        <v>1</v>
      </c>
      <c r="B8" s="3" t="s">
        <v>19</v>
      </c>
      <c r="C8" s="3" t="s">
        <v>20</v>
      </c>
      <c r="D8" s="3" t="s">
        <v>21</v>
      </c>
      <c r="E8" s="3" t="s">
        <v>22</v>
      </c>
      <c r="F8" s="3" t="s">
        <v>23</v>
      </c>
      <c r="G8" s="3">
        <v>2</v>
      </c>
      <c r="H8" s="2" t="s">
        <v>24</v>
      </c>
      <c r="I8" s="14" t="s">
        <v>25</v>
      </c>
      <c r="J8" s="5"/>
      <c r="K8" s="5"/>
      <c r="L8" s="5"/>
      <c r="M8" s="6" t="str">
        <f t="shared" ref="M8:M23" si="0">IF(COUNT(J8:L8)&lt;3,"",SUM(J8:L8))</f>
        <v/>
      </c>
    </row>
    <row r="9" spans="1:13" ht="50.4" customHeight="1">
      <c r="A9" s="3">
        <v>2</v>
      </c>
      <c r="B9" s="3" t="s">
        <v>26</v>
      </c>
      <c r="C9" s="3" t="s">
        <v>27</v>
      </c>
      <c r="D9" s="3" t="s">
        <v>21</v>
      </c>
      <c r="E9" s="3" t="s">
        <v>22</v>
      </c>
      <c r="F9" s="3" t="s">
        <v>28</v>
      </c>
      <c r="G9" s="3">
        <v>3</v>
      </c>
      <c r="H9" s="2" t="s">
        <v>29</v>
      </c>
      <c r="I9" s="14" t="s">
        <v>30</v>
      </c>
      <c r="J9" s="5"/>
      <c r="K9" s="5"/>
      <c r="L9" s="5"/>
      <c r="M9" s="6" t="str">
        <f t="shared" si="0"/>
        <v/>
      </c>
    </row>
    <row r="10" spans="1:13" ht="27.15" customHeight="1">
      <c r="A10" s="3">
        <v>3</v>
      </c>
      <c r="B10" s="3" t="s">
        <v>31</v>
      </c>
      <c r="C10" s="3" t="s">
        <v>32</v>
      </c>
      <c r="D10" s="3" t="s">
        <v>21</v>
      </c>
      <c r="E10" s="3" t="s">
        <v>22</v>
      </c>
      <c r="F10" s="3" t="s">
        <v>33</v>
      </c>
      <c r="G10" s="3">
        <v>1</v>
      </c>
      <c r="H10" s="2" t="s">
        <v>34</v>
      </c>
      <c r="I10" s="14" t="s">
        <v>35</v>
      </c>
      <c r="J10" s="5"/>
      <c r="K10" s="5"/>
      <c r="L10" s="5"/>
      <c r="M10" s="6" t="str">
        <f t="shared" si="0"/>
        <v/>
      </c>
    </row>
    <row r="11" spans="1:13" ht="27.15" customHeight="1">
      <c r="A11" s="3">
        <v>4</v>
      </c>
      <c r="B11" s="3" t="s">
        <v>36</v>
      </c>
      <c r="C11" s="3" t="s">
        <v>27</v>
      </c>
      <c r="D11" s="3" t="s">
        <v>21</v>
      </c>
      <c r="E11" s="3" t="s">
        <v>22</v>
      </c>
      <c r="F11" s="3" t="s">
        <v>37</v>
      </c>
      <c r="G11" s="3">
        <v>1</v>
      </c>
      <c r="H11" s="2" t="s">
        <v>38</v>
      </c>
      <c r="I11" s="14" t="s">
        <v>39</v>
      </c>
      <c r="J11" s="5"/>
      <c r="K11" s="5"/>
      <c r="L11" s="5"/>
      <c r="M11" s="6" t="str">
        <f t="shared" si="0"/>
        <v/>
      </c>
    </row>
    <row r="12" spans="1:13" ht="74.400000000000006" customHeight="1">
      <c r="A12" s="3">
        <v>5</v>
      </c>
      <c r="B12" s="3" t="s">
        <v>40</v>
      </c>
      <c r="C12" s="3" t="s">
        <v>32</v>
      </c>
      <c r="D12" s="3" t="s">
        <v>21</v>
      </c>
      <c r="E12" s="3" t="s">
        <v>22</v>
      </c>
      <c r="F12" s="3" t="s">
        <v>41</v>
      </c>
      <c r="G12" s="3">
        <v>5</v>
      </c>
      <c r="H12" s="2" t="s">
        <v>42</v>
      </c>
      <c r="I12" s="14" t="s">
        <v>43</v>
      </c>
      <c r="J12" s="5"/>
      <c r="K12" s="5"/>
      <c r="L12" s="5"/>
      <c r="M12" s="6" t="str">
        <f t="shared" si="0"/>
        <v/>
      </c>
    </row>
    <row r="13" spans="1:13" ht="27.15" customHeight="1">
      <c r="A13" s="3">
        <v>6</v>
      </c>
      <c r="B13" s="3" t="s">
        <v>44</v>
      </c>
      <c r="C13" s="3" t="s">
        <v>27</v>
      </c>
      <c r="D13" s="3" t="s">
        <v>21</v>
      </c>
      <c r="E13" s="3" t="s">
        <v>22</v>
      </c>
      <c r="F13" s="3" t="s">
        <v>45</v>
      </c>
      <c r="G13" s="3">
        <v>1</v>
      </c>
      <c r="H13" s="2" t="s">
        <v>46</v>
      </c>
      <c r="I13" s="14" t="s">
        <v>47</v>
      </c>
      <c r="J13" s="5"/>
      <c r="K13" s="5"/>
      <c r="L13" s="5"/>
      <c r="M13" s="6" t="str">
        <f t="shared" si="0"/>
        <v/>
      </c>
    </row>
    <row r="14" spans="1:13" ht="62.4" customHeight="1">
      <c r="A14" s="3">
        <v>7</v>
      </c>
      <c r="B14" s="3" t="s">
        <v>48</v>
      </c>
      <c r="C14" s="3" t="s">
        <v>27</v>
      </c>
      <c r="D14" s="3" t="s">
        <v>21</v>
      </c>
      <c r="E14" s="3" t="s">
        <v>22</v>
      </c>
      <c r="F14" s="3" t="s">
        <v>49</v>
      </c>
      <c r="G14" s="3">
        <v>4</v>
      </c>
      <c r="H14" s="2" t="s">
        <v>50</v>
      </c>
      <c r="I14" s="14" t="s">
        <v>51</v>
      </c>
      <c r="J14" s="5"/>
      <c r="K14" s="5"/>
      <c r="L14" s="5"/>
      <c r="M14" s="6" t="str">
        <f t="shared" si="0"/>
        <v/>
      </c>
    </row>
    <row r="15" spans="1:13" ht="38.4" customHeight="1">
      <c r="A15" s="3">
        <v>8</v>
      </c>
      <c r="B15" s="3" t="s">
        <v>52</v>
      </c>
      <c r="C15" s="3" t="s">
        <v>53</v>
      </c>
      <c r="D15" s="3" t="s">
        <v>21</v>
      </c>
      <c r="E15" s="3" t="s">
        <v>22</v>
      </c>
      <c r="F15" s="3" t="s">
        <v>54</v>
      </c>
      <c r="G15" s="3">
        <v>2</v>
      </c>
      <c r="H15" s="2" t="s">
        <v>55</v>
      </c>
      <c r="I15" s="14" t="s">
        <v>56</v>
      </c>
      <c r="J15" s="5"/>
      <c r="K15" s="5"/>
      <c r="L15" s="5"/>
      <c r="M15" s="6" t="str">
        <f t="shared" si="0"/>
        <v/>
      </c>
    </row>
    <row r="16" spans="1:13" ht="62.4" customHeight="1">
      <c r="A16" s="3">
        <v>9</v>
      </c>
      <c r="B16" s="3" t="s">
        <v>57</v>
      </c>
      <c r="C16" s="3" t="s">
        <v>58</v>
      </c>
      <c r="D16" s="3" t="s">
        <v>21</v>
      </c>
      <c r="E16" s="3" t="s">
        <v>22</v>
      </c>
      <c r="F16" s="3" t="s">
        <v>59</v>
      </c>
      <c r="G16" s="3">
        <v>4</v>
      </c>
      <c r="H16" s="2" t="s">
        <v>60</v>
      </c>
      <c r="I16" s="14" t="s">
        <v>61</v>
      </c>
      <c r="J16" s="5"/>
      <c r="K16" s="5"/>
      <c r="L16" s="5"/>
      <c r="M16" s="6" t="str">
        <f t="shared" si="0"/>
        <v/>
      </c>
    </row>
    <row r="17" spans="1:13" ht="86.4" customHeight="1">
      <c r="A17" s="3">
        <v>10</v>
      </c>
      <c r="B17" s="3" t="s">
        <v>62</v>
      </c>
      <c r="C17" s="3" t="s">
        <v>63</v>
      </c>
      <c r="D17" s="3" t="s">
        <v>21</v>
      </c>
      <c r="E17" s="3" t="s">
        <v>22</v>
      </c>
      <c r="F17" s="3" t="s">
        <v>64</v>
      </c>
      <c r="G17" s="3">
        <v>6</v>
      </c>
      <c r="H17" s="2" t="s">
        <v>65</v>
      </c>
      <c r="I17" s="14" t="s">
        <v>66</v>
      </c>
      <c r="J17" s="5"/>
      <c r="K17" s="5"/>
      <c r="L17" s="5"/>
      <c r="M17" s="6" t="str">
        <f t="shared" si="0"/>
        <v/>
      </c>
    </row>
    <row r="18" spans="1:13" ht="74.400000000000006" customHeight="1">
      <c r="A18" s="3">
        <v>11</v>
      </c>
      <c r="B18" s="3" t="s">
        <v>67</v>
      </c>
      <c r="C18" s="3" t="s">
        <v>53</v>
      </c>
      <c r="D18" s="3" t="s">
        <v>21</v>
      </c>
      <c r="E18" s="3" t="s">
        <v>22</v>
      </c>
      <c r="F18" s="3" t="s">
        <v>68</v>
      </c>
      <c r="G18" s="3">
        <v>5</v>
      </c>
      <c r="H18" s="2" t="s">
        <v>69</v>
      </c>
      <c r="I18" s="14" t="s">
        <v>70</v>
      </c>
      <c r="J18" s="5"/>
      <c r="K18" s="5"/>
      <c r="L18" s="5"/>
      <c r="M18" s="6" t="str">
        <f t="shared" si="0"/>
        <v/>
      </c>
    </row>
    <row r="19" spans="1:13" ht="86.4" customHeight="1">
      <c r="A19" s="3">
        <v>12</v>
      </c>
      <c r="B19" s="3" t="s">
        <v>71</v>
      </c>
      <c r="C19" s="3" t="s">
        <v>27</v>
      </c>
      <c r="D19" s="3" t="s">
        <v>21</v>
      </c>
      <c r="E19" s="3" t="s">
        <v>22</v>
      </c>
      <c r="F19" s="3" t="s">
        <v>72</v>
      </c>
      <c r="G19" s="3">
        <v>6</v>
      </c>
      <c r="H19" s="2" t="s">
        <v>73</v>
      </c>
      <c r="I19" s="14" t="s">
        <v>74</v>
      </c>
      <c r="J19" s="5"/>
      <c r="K19" s="5"/>
      <c r="L19" s="5"/>
      <c r="M19" s="6" t="str">
        <f t="shared" si="0"/>
        <v/>
      </c>
    </row>
    <row r="20" spans="1:13" ht="38.4" customHeight="1">
      <c r="A20" s="3">
        <v>13</v>
      </c>
      <c r="B20" s="3" t="s">
        <v>75</v>
      </c>
      <c r="C20" s="3" t="s">
        <v>27</v>
      </c>
      <c r="D20" s="3" t="s">
        <v>21</v>
      </c>
      <c r="E20" s="3" t="s">
        <v>22</v>
      </c>
      <c r="F20" s="3" t="s">
        <v>76</v>
      </c>
      <c r="G20" s="3">
        <v>2</v>
      </c>
      <c r="H20" s="2" t="s">
        <v>77</v>
      </c>
      <c r="I20" s="14" t="s">
        <v>78</v>
      </c>
      <c r="J20" s="5"/>
      <c r="K20" s="5"/>
      <c r="L20" s="5"/>
      <c r="M20" s="6" t="str">
        <f t="shared" si="0"/>
        <v/>
      </c>
    </row>
    <row r="21" spans="1:13" ht="27.15" customHeight="1">
      <c r="A21" s="3">
        <v>14</v>
      </c>
      <c r="B21" s="3" t="s">
        <v>79</v>
      </c>
      <c r="C21" s="3" t="s">
        <v>80</v>
      </c>
      <c r="D21" s="3" t="s">
        <v>21</v>
      </c>
      <c r="E21" s="3" t="s">
        <v>22</v>
      </c>
      <c r="F21" s="3" t="s">
        <v>81</v>
      </c>
      <c r="G21" s="3">
        <v>1</v>
      </c>
      <c r="H21" s="2" t="s">
        <v>82</v>
      </c>
      <c r="I21" s="14" t="s">
        <v>83</v>
      </c>
      <c r="J21" s="5"/>
      <c r="K21" s="5"/>
      <c r="L21" s="5"/>
      <c r="M21" s="6" t="str">
        <f t="shared" si="0"/>
        <v/>
      </c>
    </row>
    <row r="22" spans="1:13" ht="86.4" customHeight="1">
      <c r="A22" s="3">
        <v>15</v>
      </c>
      <c r="B22" s="3" t="s">
        <v>84</v>
      </c>
      <c r="C22" s="3" t="s">
        <v>27</v>
      </c>
      <c r="D22" s="3" t="s">
        <v>21</v>
      </c>
      <c r="E22" s="3" t="s">
        <v>22</v>
      </c>
      <c r="F22" s="3" t="s">
        <v>85</v>
      </c>
      <c r="G22" s="3">
        <v>6</v>
      </c>
      <c r="H22" s="2" t="s">
        <v>86</v>
      </c>
      <c r="I22" s="14" t="s">
        <v>87</v>
      </c>
      <c r="J22" s="5"/>
      <c r="K22" s="5"/>
      <c r="L22" s="5"/>
      <c r="M22" s="6" t="str">
        <f t="shared" si="0"/>
        <v/>
      </c>
    </row>
    <row r="23" spans="1:13" ht="27.15" customHeight="1">
      <c r="A23" s="3">
        <v>16</v>
      </c>
      <c r="B23" s="3" t="s">
        <v>88</v>
      </c>
      <c r="C23" s="3"/>
      <c r="D23" s="3"/>
      <c r="E23" s="3"/>
      <c r="F23" s="3" t="s">
        <v>89</v>
      </c>
      <c r="G23" s="3">
        <v>1</v>
      </c>
      <c r="H23" s="2" t="s">
        <v>90</v>
      </c>
      <c r="I23" s="14" t="s">
        <v>91</v>
      </c>
      <c r="J23" s="5"/>
      <c r="K23" s="5"/>
      <c r="L23" s="5"/>
      <c r="M23" s="6" t="str">
        <f t="shared" si="0"/>
        <v/>
      </c>
    </row>
  </sheetData>
  <mergeCells count="10">
    <mergeCell ref="A1:M1"/>
    <mergeCell ref="A2:M2"/>
    <mergeCell ref="A4:C4"/>
    <mergeCell ref="A5:C5"/>
    <mergeCell ref="D4:F4"/>
    <mergeCell ref="D5:F5"/>
    <mergeCell ref="G4:I4"/>
    <mergeCell ref="G5:I5"/>
    <mergeCell ref="J4:M4"/>
    <mergeCell ref="J5:M5"/>
  </mergeCells>
  <conditionalFormatting sqref="M8:M23">
    <cfRule type="expression" dxfId="2" priority="1">
      <formula>AND(ISNUMBER(M8),M8&lt;50)</formula>
    </cfRule>
    <cfRule type="expression" dxfId="1" priority="2">
      <formula>AND(ISNUMBER(M8),M8&gt;=50,M8&lt;70)</formula>
    </cfRule>
    <cfRule type="expression" dxfId="0" priority="3">
      <formula>AND(ISNUMBER(M8),M8&gt;=70)</formula>
    </cfRule>
  </conditionalFormatting>
  <dataValidations count="3">
    <dataValidation type="decimal" allowBlank="1" showErrorMessage="1" errorTitle="Invalid Project Marks" error="Enter marks between 0 and 40." sqref="J8:J23" xr:uid="{00000000-0002-0000-0000-000000000000}">
      <formula1>0</formula1>
      <formula2>40</formula2>
    </dataValidation>
    <dataValidation type="decimal" allowBlank="1" showErrorMessage="1" errorTitle="Invalid Presentation Marks" error="Enter marks between 0 and 30." sqref="K8:K23" xr:uid="{00000000-0002-0000-0000-000001000000}">
      <formula1>0</formula1>
      <formula2>30</formula2>
    </dataValidation>
    <dataValidation type="decimal" allowBlank="1" showErrorMessage="1" errorTitle="Invalid Viva Marks" error="Enter marks between 0 and 30." sqref="L8:L23" xr:uid="{00000000-0002-0000-0000-000002000000}">
      <formula1>0</formula1>
      <formula2>30</formula2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4"/>
  <sheetViews>
    <sheetView workbookViewId="0">
      <selection sqref="A1:J1"/>
    </sheetView>
  </sheetViews>
  <sheetFormatPr defaultRowHeight="13.8"/>
  <cols>
    <col min="1" max="1" width="11" customWidth="1"/>
    <col min="2" max="2" width="10" customWidth="1"/>
    <col min="3" max="3" width="15" customWidth="1"/>
    <col min="4" max="4" width="11" customWidth="1"/>
    <col min="5" max="5" width="18" customWidth="1"/>
    <col min="6" max="6" width="42" customWidth="1"/>
    <col min="7" max="7" width="22" customWidth="1"/>
    <col min="8" max="8" width="24" customWidth="1"/>
    <col min="9" max="9" width="36" customWidth="1"/>
    <col min="10" max="10" width="17" customWidth="1"/>
  </cols>
  <sheetData>
    <row r="1" spans="1:10" ht="24" customHeight="1">
      <c r="A1" s="23" t="s">
        <v>92</v>
      </c>
      <c r="B1" s="23"/>
      <c r="C1" s="23"/>
      <c r="D1" s="23"/>
      <c r="E1" s="23"/>
      <c r="F1" s="23"/>
      <c r="G1" s="23"/>
      <c r="H1" s="23"/>
      <c r="I1" s="23"/>
      <c r="J1" s="23"/>
    </row>
    <row r="2" spans="1:10" ht="16.8" customHeight="1">
      <c r="A2" s="16" t="s">
        <v>93</v>
      </c>
      <c r="B2" s="16"/>
      <c r="C2" s="16"/>
      <c r="D2" s="16"/>
      <c r="E2" s="16"/>
      <c r="F2" s="16"/>
      <c r="G2" s="16"/>
      <c r="H2" s="16"/>
      <c r="I2" s="16"/>
      <c r="J2" s="16"/>
    </row>
    <row r="4" spans="1:10" ht="28.05" customHeight="1">
      <c r="A4" s="1" t="s">
        <v>7</v>
      </c>
      <c r="B4" s="1" t="s">
        <v>6</v>
      </c>
      <c r="C4" s="1" t="s">
        <v>8</v>
      </c>
      <c r="D4" s="1" t="s">
        <v>9</v>
      </c>
      <c r="E4" s="1" t="s">
        <v>10</v>
      </c>
      <c r="F4" s="1" t="s">
        <v>11</v>
      </c>
      <c r="G4" s="1" t="s">
        <v>94</v>
      </c>
      <c r="H4" s="1" t="s">
        <v>95</v>
      </c>
      <c r="I4" s="1" t="s">
        <v>96</v>
      </c>
      <c r="J4" s="1" t="s">
        <v>97</v>
      </c>
    </row>
    <row r="5" spans="1:10" ht="19.2" customHeight="1">
      <c r="A5" s="3" t="s">
        <v>19</v>
      </c>
      <c r="B5" s="3">
        <v>1</v>
      </c>
      <c r="C5" s="3" t="s">
        <v>20</v>
      </c>
      <c r="D5" s="3" t="s">
        <v>21</v>
      </c>
      <c r="E5" s="3" t="s">
        <v>22</v>
      </c>
      <c r="F5" s="2" t="s">
        <v>23</v>
      </c>
      <c r="G5" s="14" t="s">
        <v>98</v>
      </c>
      <c r="H5" s="2" t="s">
        <v>99</v>
      </c>
      <c r="I5" s="2" t="s">
        <v>100</v>
      </c>
      <c r="J5" s="14" t="s">
        <v>101</v>
      </c>
    </row>
    <row r="6" spans="1:10" ht="19.2" customHeight="1">
      <c r="A6" s="3" t="s">
        <v>19</v>
      </c>
      <c r="B6" s="3">
        <v>1</v>
      </c>
      <c r="C6" s="3" t="s">
        <v>20</v>
      </c>
      <c r="D6" s="3" t="s">
        <v>21</v>
      </c>
      <c r="E6" s="3" t="s">
        <v>22</v>
      </c>
      <c r="F6" s="2" t="s">
        <v>23</v>
      </c>
      <c r="G6" s="14" t="s">
        <v>102</v>
      </c>
      <c r="H6" s="2" t="s">
        <v>103</v>
      </c>
      <c r="I6" s="2" t="s">
        <v>104</v>
      </c>
      <c r="J6" s="14" t="s">
        <v>105</v>
      </c>
    </row>
    <row r="7" spans="1:10" ht="19.2" customHeight="1">
      <c r="A7" s="3" t="s">
        <v>26</v>
      </c>
      <c r="B7" s="3">
        <v>2</v>
      </c>
      <c r="C7" s="3" t="s">
        <v>27</v>
      </c>
      <c r="D7" s="3" t="s">
        <v>21</v>
      </c>
      <c r="E7" s="3" t="s">
        <v>22</v>
      </c>
      <c r="F7" s="2" t="s">
        <v>28</v>
      </c>
      <c r="G7" s="14" t="s">
        <v>106</v>
      </c>
      <c r="H7" s="2" t="s">
        <v>107</v>
      </c>
      <c r="I7" s="2" t="s">
        <v>108</v>
      </c>
      <c r="J7" s="14" t="s">
        <v>109</v>
      </c>
    </row>
    <row r="8" spans="1:10" ht="19.2" customHeight="1">
      <c r="A8" s="3" t="s">
        <v>26</v>
      </c>
      <c r="B8" s="3">
        <v>2</v>
      </c>
      <c r="C8" s="3" t="s">
        <v>27</v>
      </c>
      <c r="D8" s="3" t="s">
        <v>21</v>
      </c>
      <c r="E8" s="3" t="s">
        <v>22</v>
      </c>
      <c r="F8" s="2" t="s">
        <v>28</v>
      </c>
      <c r="G8" s="14" t="s">
        <v>110</v>
      </c>
      <c r="H8" s="2" t="s">
        <v>111</v>
      </c>
      <c r="I8" s="2" t="s">
        <v>112</v>
      </c>
      <c r="J8" s="14" t="s">
        <v>113</v>
      </c>
    </row>
    <row r="9" spans="1:10" ht="19.2" customHeight="1">
      <c r="A9" s="3" t="s">
        <v>26</v>
      </c>
      <c r="B9" s="3">
        <v>2</v>
      </c>
      <c r="C9" s="3" t="s">
        <v>27</v>
      </c>
      <c r="D9" s="3" t="s">
        <v>21</v>
      </c>
      <c r="E9" s="3" t="s">
        <v>22</v>
      </c>
      <c r="F9" s="2" t="s">
        <v>28</v>
      </c>
      <c r="G9" s="14" t="s">
        <v>114</v>
      </c>
      <c r="H9" s="2" t="s">
        <v>115</v>
      </c>
      <c r="I9" s="2" t="s">
        <v>116</v>
      </c>
      <c r="J9" s="14" t="s">
        <v>117</v>
      </c>
    </row>
    <row r="10" spans="1:10" ht="19.2" customHeight="1">
      <c r="A10" s="3" t="s">
        <v>31</v>
      </c>
      <c r="B10" s="3">
        <v>3</v>
      </c>
      <c r="C10" s="3" t="s">
        <v>32</v>
      </c>
      <c r="D10" s="3" t="s">
        <v>21</v>
      </c>
      <c r="E10" s="3" t="s">
        <v>22</v>
      </c>
      <c r="F10" s="2" t="s">
        <v>33</v>
      </c>
      <c r="G10" s="14" t="s">
        <v>35</v>
      </c>
      <c r="H10" s="2" t="s">
        <v>34</v>
      </c>
      <c r="I10" s="2" t="s">
        <v>118</v>
      </c>
      <c r="J10" s="14" t="s">
        <v>119</v>
      </c>
    </row>
    <row r="11" spans="1:10" ht="19.2" customHeight="1">
      <c r="A11" s="3" t="s">
        <v>36</v>
      </c>
      <c r="B11" s="3">
        <v>4</v>
      </c>
      <c r="C11" s="3" t="s">
        <v>27</v>
      </c>
      <c r="D11" s="3" t="s">
        <v>21</v>
      </c>
      <c r="E11" s="3" t="s">
        <v>22</v>
      </c>
      <c r="F11" s="2" t="s">
        <v>37</v>
      </c>
      <c r="G11" s="14" t="s">
        <v>39</v>
      </c>
      <c r="H11" s="2" t="s">
        <v>38</v>
      </c>
      <c r="I11" s="2" t="s">
        <v>120</v>
      </c>
      <c r="J11" s="14" t="s">
        <v>121</v>
      </c>
    </row>
    <row r="12" spans="1:10" ht="19.2" customHeight="1">
      <c r="A12" s="3" t="s">
        <v>40</v>
      </c>
      <c r="B12" s="3">
        <v>5</v>
      </c>
      <c r="C12" s="3" t="s">
        <v>32</v>
      </c>
      <c r="D12" s="3" t="s">
        <v>21</v>
      </c>
      <c r="E12" s="3" t="s">
        <v>22</v>
      </c>
      <c r="F12" s="2" t="s">
        <v>41</v>
      </c>
      <c r="G12" s="14" t="s">
        <v>122</v>
      </c>
      <c r="H12" s="2" t="s">
        <v>123</v>
      </c>
      <c r="I12" s="2" t="s">
        <v>124</v>
      </c>
      <c r="J12" s="14" t="s">
        <v>125</v>
      </c>
    </row>
    <row r="13" spans="1:10" ht="19.2" customHeight="1">
      <c r="A13" s="3" t="s">
        <v>40</v>
      </c>
      <c r="B13" s="3">
        <v>5</v>
      </c>
      <c r="C13" s="3" t="s">
        <v>32</v>
      </c>
      <c r="D13" s="3" t="s">
        <v>21</v>
      </c>
      <c r="E13" s="3" t="s">
        <v>22</v>
      </c>
      <c r="F13" s="2" t="s">
        <v>41</v>
      </c>
      <c r="G13" s="14" t="s">
        <v>126</v>
      </c>
      <c r="H13" s="2" t="s">
        <v>127</v>
      </c>
      <c r="I13" s="2" t="s">
        <v>128</v>
      </c>
      <c r="J13" s="14" t="s">
        <v>129</v>
      </c>
    </row>
    <row r="14" spans="1:10" ht="19.2" customHeight="1">
      <c r="A14" s="3" t="s">
        <v>40</v>
      </c>
      <c r="B14" s="3">
        <v>5</v>
      </c>
      <c r="C14" s="3" t="s">
        <v>32</v>
      </c>
      <c r="D14" s="3" t="s">
        <v>21</v>
      </c>
      <c r="E14" s="3" t="s">
        <v>22</v>
      </c>
      <c r="F14" s="2" t="s">
        <v>41</v>
      </c>
      <c r="G14" s="14" t="s">
        <v>130</v>
      </c>
      <c r="H14" s="2" t="s">
        <v>131</v>
      </c>
      <c r="I14" s="2" t="s">
        <v>132</v>
      </c>
      <c r="J14" s="14" t="s">
        <v>133</v>
      </c>
    </row>
    <row r="15" spans="1:10" ht="19.2" customHeight="1">
      <c r="A15" s="3" t="s">
        <v>40</v>
      </c>
      <c r="B15" s="3">
        <v>5</v>
      </c>
      <c r="C15" s="3" t="s">
        <v>32</v>
      </c>
      <c r="D15" s="3" t="s">
        <v>21</v>
      </c>
      <c r="E15" s="3" t="s">
        <v>22</v>
      </c>
      <c r="F15" s="2" t="s">
        <v>41</v>
      </c>
      <c r="G15" s="14" t="s">
        <v>134</v>
      </c>
      <c r="H15" s="2" t="s">
        <v>135</v>
      </c>
      <c r="I15" s="2" t="s">
        <v>136</v>
      </c>
      <c r="J15" s="14" t="s">
        <v>137</v>
      </c>
    </row>
    <row r="16" spans="1:10" ht="19.2" customHeight="1">
      <c r="A16" s="3" t="s">
        <v>40</v>
      </c>
      <c r="B16" s="3">
        <v>5</v>
      </c>
      <c r="C16" s="3" t="s">
        <v>32</v>
      </c>
      <c r="D16" s="3" t="s">
        <v>21</v>
      </c>
      <c r="E16" s="3" t="s">
        <v>22</v>
      </c>
      <c r="F16" s="2" t="s">
        <v>41</v>
      </c>
      <c r="G16" s="14" t="s">
        <v>138</v>
      </c>
      <c r="H16" s="2" t="s">
        <v>139</v>
      </c>
      <c r="I16" s="2" t="s">
        <v>140</v>
      </c>
      <c r="J16" s="14" t="s">
        <v>141</v>
      </c>
    </row>
    <row r="17" spans="1:10" ht="19.2" customHeight="1">
      <c r="A17" s="3" t="s">
        <v>44</v>
      </c>
      <c r="B17" s="3">
        <v>6</v>
      </c>
      <c r="C17" s="3" t="s">
        <v>27</v>
      </c>
      <c r="D17" s="3" t="s">
        <v>21</v>
      </c>
      <c r="E17" s="3" t="s">
        <v>22</v>
      </c>
      <c r="F17" s="2" t="s">
        <v>45</v>
      </c>
      <c r="G17" s="14" t="s">
        <v>47</v>
      </c>
      <c r="H17" s="2" t="s">
        <v>46</v>
      </c>
      <c r="I17" s="2" t="s">
        <v>142</v>
      </c>
      <c r="J17" s="14" t="s">
        <v>143</v>
      </c>
    </row>
    <row r="18" spans="1:10" ht="19.2" customHeight="1">
      <c r="A18" s="3" t="s">
        <v>48</v>
      </c>
      <c r="B18" s="3">
        <v>7</v>
      </c>
      <c r="C18" s="3" t="s">
        <v>27</v>
      </c>
      <c r="D18" s="3" t="s">
        <v>21</v>
      </c>
      <c r="E18" s="3" t="s">
        <v>22</v>
      </c>
      <c r="F18" s="2" t="s">
        <v>49</v>
      </c>
      <c r="G18" s="14" t="s">
        <v>144</v>
      </c>
      <c r="H18" s="2" t="s">
        <v>145</v>
      </c>
      <c r="I18" s="2" t="s">
        <v>146</v>
      </c>
      <c r="J18" s="14" t="s">
        <v>147</v>
      </c>
    </row>
    <row r="19" spans="1:10" ht="19.2" customHeight="1">
      <c r="A19" s="3" t="s">
        <v>48</v>
      </c>
      <c r="B19" s="3">
        <v>7</v>
      </c>
      <c r="C19" s="3" t="s">
        <v>27</v>
      </c>
      <c r="D19" s="3" t="s">
        <v>21</v>
      </c>
      <c r="E19" s="3" t="s">
        <v>22</v>
      </c>
      <c r="F19" s="2" t="s">
        <v>49</v>
      </c>
      <c r="G19" s="14" t="s">
        <v>148</v>
      </c>
      <c r="H19" s="2" t="s">
        <v>149</v>
      </c>
      <c r="I19" s="2" t="s">
        <v>150</v>
      </c>
      <c r="J19" s="14" t="s">
        <v>151</v>
      </c>
    </row>
    <row r="20" spans="1:10" ht="19.2" customHeight="1">
      <c r="A20" s="3" t="s">
        <v>48</v>
      </c>
      <c r="B20" s="3">
        <v>7</v>
      </c>
      <c r="C20" s="3" t="s">
        <v>27</v>
      </c>
      <c r="D20" s="3" t="s">
        <v>21</v>
      </c>
      <c r="E20" s="3" t="s">
        <v>22</v>
      </c>
      <c r="F20" s="2" t="s">
        <v>49</v>
      </c>
      <c r="G20" s="14" t="s">
        <v>152</v>
      </c>
      <c r="H20" s="2" t="s">
        <v>153</v>
      </c>
      <c r="I20" s="2" t="s">
        <v>154</v>
      </c>
      <c r="J20" s="14" t="s">
        <v>155</v>
      </c>
    </row>
    <row r="21" spans="1:10" ht="19.2" customHeight="1">
      <c r="A21" s="3" t="s">
        <v>48</v>
      </c>
      <c r="B21" s="3">
        <v>7</v>
      </c>
      <c r="C21" s="3" t="s">
        <v>27</v>
      </c>
      <c r="D21" s="3" t="s">
        <v>21</v>
      </c>
      <c r="E21" s="3" t="s">
        <v>22</v>
      </c>
      <c r="F21" s="2" t="s">
        <v>49</v>
      </c>
      <c r="G21" s="14" t="s">
        <v>156</v>
      </c>
      <c r="H21" s="2" t="s">
        <v>157</v>
      </c>
      <c r="I21" s="2" t="s">
        <v>158</v>
      </c>
      <c r="J21" s="14" t="s">
        <v>159</v>
      </c>
    </row>
    <row r="22" spans="1:10" ht="19.2" customHeight="1">
      <c r="A22" s="3" t="s">
        <v>52</v>
      </c>
      <c r="B22" s="3">
        <v>8</v>
      </c>
      <c r="C22" s="3" t="s">
        <v>53</v>
      </c>
      <c r="D22" s="3" t="s">
        <v>21</v>
      </c>
      <c r="E22" s="3" t="s">
        <v>22</v>
      </c>
      <c r="F22" s="2" t="s">
        <v>54</v>
      </c>
      <c r="G22" s="14" t="s">
        <v>160</v>
      </c>
      <c r="H22" s="2" t="s">
        <v>161</v>
      </c>
      <c r="I22" s="2" t="s">
        <v>162</v>
      </c>
      <c r="J22" s="14" t="s">
        <v>163</v>
      </c>
    </row>
    <row r="23" spans="1:10" ht="19.2" customHeight="1">
      <c r="A23" s="3" t="s">
        <v>52</v>
      </c>
      <c r="B23" s="3">
        <v>8</v>
      </c>
      <c r="C23" s="3" t="s">
        <v>53</v>
      </c>
      <c r="D23" s="3" t="s">
        <v>21</v>
      </c>
      <c r="E23" s="3" t="s">
        <v>22</v>
      </c>
      <c r="F23" s="2" t="s">
        <v>54</v>
      </c>
      <c r="G23" s="14" t="s">
        <v>164</v>
      </c>
      <c r="H23" s="2" t="s">
        <v>165</v>
      </c>
      <c r="I23" s="2" t="s">
        <v>166</v>
      </c>
      <c r="J23" s="14" t="s">
        <v>167</v>
      </c>
    </row>
    <row r="24" spans="1:10" ht="19.2" customHeight="1">
      <c r="A24" s="3" t="s">
        <v>57</v>
      </c>
      <c r="B24" s="3">
        <v>9</v>
      </c>
      <c r="C24" s="3" t="s">
        <v>58</v>
      </c>
      <c r="D24" s="3" t="s">
        <v>21</v>
      </c>
      <c r="E24" s="3" t="s">
        <v>22</v>
      </c>
      <c r="F24" s="2" t="s">
        <v>59</v>
      </c>
      <c r="G24" s="14" t="s">
        <v>168</v>
      </c>
      <c r="H24" s="2" t="s">
        <v>169</v>
      </c>
      <c r="I24" s="2" t="s">
        <v>170</v>
      </c>
      <c r="J24" s="14" t="s">
        <v>171</v>
      </c>
    </row>
    <row r="25" spans="1:10" ht="19.2" customHeight="1">
      <c r="A25" s="3" t="s">
        <v>57</v>
      </c>
      <c r="B25" s="3">
        <v>9</v>
      </c>
      <c r="C25" s="3" t="s">
        <v>58</v>
      </c>
      <c r="D25" s="3" t="s">
        <v>21</v>
      </c>
      <c r="E25" s="3" t="s">
        <v>22</v>
      </c>
      <c r="F25" s="2" t="s">
        <v>59</v>
      </c>
      <c r="G25" s="14" t="s">
        <v>172</v>
      </c>
      <c r="H25" s="2" t="s">
        <v>173</v>
      </c>
      <c r="I25" s="2" t="s">
        <v>174</v>
      </c>
      <c r="J25" s="14" t="s">
        <v>175</v>
      </c>
    </row>
    <row r="26" spans="1:10" ht="19.2" customHeight="1">
      <c r="A26" s="3" t="s">
        <v>57</v>
      </c>
      <c r="B26" s="3">
        <v>9</v>
      </c>
      <c r="C26" s="3" t="s">
        <v>58</v>
      </c>
      <c r="D26" s="3" t="s">
        <v>21</v>
      </c>
      <c r="E26" s="3" t="s">
        <v>22</v>
      </c>
      <c r="F26" s="2" t="s">
        <v>59</v>
      </c>
      <c r="G26" s="14" t="s">
        <v>176</v>
      </c>
      <c r="H26" s="2" t="s">
        <v>177</v>
      </c>
      <c r="I26" s="2" t="s">
        <v>178</v>
      </c>
      <c r="J26" s="14" t="s">
        <v>179</v>
      </c>
    </row>
    <row r="27" spans="1:10" ht="19.2" customHeight="1">
      <c r="A27" s="3" t="s">
        <v>57</v>
      </c>
      <c r="B27" s="3">
        <v>9</v>
      </c>
      <c r="C27" s="3" t="s">
        <v>58</v>
      </c>
      <c r="D27" s="3" t="s">
        <v>21</v>
      </c>
      <c r="E27" s="3" t="s">
        <v>22</v>
      </c>
      <c r="F27" s="2" t="s">
        <v>59</v>
      </c>
      <c r="G27" s="14" t="s">
        <v>180</v>
      </c>
      <c r="H27" s="2" t="s">
        <v>181</v>
      </c>
      <c r="I27" s="2" t="s">
        <v>182</v>
      </c>
      <c r="J27" s="14" t="s">
        <v>183</v>
      </c>
    </row>
    <row r="28" spans="1:10" ht="19.2" customHeight="1">
      <c r="A28" s="3" t="s">
        <v>62</v>
      </c>
      <c r="B28" s="3">
        <v>10</v>
      </c>
      <c r="C28" s="3" t="s">
        <v>63</v>
      </c>
      <c r="D28" s="3" t="s">
        <v>21</v>
      </c>
      <c r="E28" s="3" t="s">
        <v>22</v>
      </c>
      <c r="F28" s="2" t="s">
        <v>64</v>
      </c>
      <c r="G28" s="14" t="s">
        <v>184</v>
      </c>
      <c r="H28" s="2" t="s">
        <v>185</v>
      </c>
      <c r="I28" s="2" t="s">
        <v>186</v>
      </c>
      <c r="J28" s="14" t="s">
        <v>187</v>
      </c>
    </row>
    <row r="29" spans="1:10" ht="19.2" customHeight="1">
      <c r="A29" s="3" t="s">
        <v>62</v>
      </c>
      <c r="B29" s="3">
        <v>10</v>
      </c>
      <c r="C29" s="3" t="s">
        <v>63</v>
      </c>
      <c r="D29" s="3" t="s">
        <v>21</v>
      </c>
      <c r="E29" s="3" t="s">
        <v>22</v>
      </c>
      <c r="F29" s="2" t="s">
        <v>64</v>
      </c>
      <c r="G29" s="14" t="s">
        <v>188</v>
      </c>
      <c r="H29" s="2" t="s">
        <v>189</v>
      </c>
      <c r="I29" s="2" t="s">
        <v>190</v>
      </c>
      <c r="J29" s="14" t="s">
        <v>191</v>
      </c>
    </row>
    <row r="30" spans="1:10" ht="19.2" customHeight="1">
      <c r="A30" s="3" t="s">
        <v>62</v>
      </c>
      <c r="B30" s="3">
        <v>10</v>
      </c>
      <c r="C30" s="3" t="s">
        <v>63</v>
      </c>
      <c r="D30" s="3" t="s">
        <v>21</v>
      </c>
      <c r="E30" s="3" t="s">
        <v>22</v>
      </c>
      <c r="F30" s="2" t="s">
        <v>64</v>
      </c>
      <c r="G30" s="14" t="s">
        <v>192</v>
      </c>
      <c r="H30" s="2" t="s">
        <v>193</v>
      </c>
      <c r="I30" s="2" t="s">
        <v>194</v>
      </c>
      <c r="J30" s="14" t="s">
        <v>195</v>
      </c>
    </row>
    <row r="31" spans="1:10" ht="19.2" customHeight="1">
      <c r="A31" s="3" t="s">
        <v>62</v>
      </c>
      <c r="B31" s="3">
        <v>10</v>
      </c>
      <c r="C31" s="3" t="s">
        <v>63</v>
      </c>
      <c r="D31" s="3" t="s">
        <v>21</v>
      </c>
      <c r="E31" s="3" t="s">
        <v>22</v>
      </c>
      <c r="F31" s="2" t="s">
        <v>64</v>
      </c>
      <c r="G31" s="14" t="s">
        <v>196</v>
      </c>
      <c r="H31" s="2" t="s">
        <v>197</v>
      </c>
      <c r="I31" s="2" t="s">
        <v>198</v>
      </c>
      <c r="J31" s="14" t="s">
        <v>199</v>
      </c>
    </row>
    <row r="32" spans="1:10" ht="19.2" customHeight="1">
      <c r="A32" s="3" t="s">
        <v>62</v>
      </c>
      <c r="B32" s="3">
        <v>10</v>
      </c>
      <c r="C32" s="3" t="s">
        <v>63</v>
      </c>
      <c r="D32" s="3" t="s">
        <v>21</v>
      </c>
      <c r="E32" s="3" t="s">
        <v>22</v>
      </c>
      <c r="F32" s="2" t="s">
        <v>64</v>
      </c>
      <c r="G32" s="14" t="s">
        <v>184</v>
      </c>
      <c r="H32" s="2" t="s">
        <v>200</v>
      </c>
      <c r="I32" s="2" t="s">
        <v>201</v>
      </c>
      <c r="J32" s="14" t="s">
        <v>202</v>
      </c>
    </row>
    <row r="33" spans="1:10" ht="19.2" customHeight="1">
      <c r="A33" s="3" t="s">
        <v>62</v>
      </c>
      <c r="B33" s="3">
        <v>10</v>
      </c>
      <c r="C33" s="3" t="s">
        <v>63</v>
      </c>
      <c r="D33" s="3" t="s">
        <v>21</v>
      </c>
      <c r="E33" s="3" t="s">
        <v>22</v>
      </c>
      <c r="F33" s="2" t="s">
        <v>64</v>
      </c>
      <c r="G33" s="14" t="s">
        <v>203</v>
      </c>
      <c r="H33" s="2" t="s">
        <v>204</v>
      </c>
      <c r="I33" s="2" t="s">
        <v>205</v>
      </c>
      <c r="J33" s="14" t="s">
        <v>206</v>
      </c>
    </row>
    <row r="34" spans="1:10" ht="19.2" customHeight="1">
      <c r="A34" s="3" t="s">
        <v>67</v>
      </c>
      <c r="B34" s="3">
        <v>11</v>
      </c>
      <c r="C34" s="3" t="s">
        <v>53</v>
      </c>
      <c r="D34" s="3" t="s">
        <v>21</v>
      </c>
      <c r="E34" s="3" t="s">
        <v>22</v>
      </c>
      <c r="F34" s="2" t="s">
        <v>68</v>
      </c>
      <c r="G34" s="14" t="s">
        <v>207</v>
      </c>
      <c r="H34" s="2" t="s">
        <v>208</v>
      </c>
      <c r="I34" s="2" t="s">
        <v>209</v>
      </c>
      <c r="J34" s="14" t="s">
        <v>210</v>
      </c>
    </row>
    <row r="35" spans="1:10" ht="19.2" customHeight="1">
      <c r="A35" s="3" t="s">
        <v>67</v>
      </c>
      <c r="B35" s="3">
        <v>11</v>
      </c>
      <c r="C35" s="3" t="s">
        <v>53</v>
      </c>
      <c r="D35" s="3" t="s">
        <v>21</v>
      </c>
      <c r="E35" s="3" t="s">
        <v>22</v>
      </c>
      <c r="F35" s="2" t="s">
        <v>68</v>
      </c>
      <c r="G35" s="14" t="s">
        <v>211</v>
      </c>
      <c r="H35" s="2" t="s">
        <v>212</v>
      </c>
      <c r="I35" s="2" t="s">
        <v>213</v>
      </c>
      <c r="J35" s="14" t="s">
        <v>214</v>
      </c>
    </row>
    <row r="36" spans="1:10" ht="19.2" customHeight="1">
      <c r="A36" s="3" t="s">
        <v>67</v>
      </c>
      <c r="B36" s="3">
        <v>11</v>
      </c>
      <c r="C36" s="3" t="s">
        <v>53</v>
      </c>
      <c r="D36" s="3" t="s">
        <v>21</v>
      </c>
      <c r="E36" s="3" t="s">
        <v>22</v>
      </c>
      <c r="F36" s="2" t="s">
        <v>68</v>
      </c>
      <c r="G36" s="14" t="s">
        <v>215</v>
      </c>
      <c r="H36" s="2" t="s">
        <v>216</v>
      </c>
      <c r="I36" s="2" t="s">
        <v>217</v>
      </c>
      <c r="J36" s="14" t="s">
        <v>218</v>
      </c>
    </row>
    <row r="37" spans="1:10" ht="19.2" customHeight="1">
      <c r="A37" s="3" t="s">
        <v>67</v>
      </c>
      <c r="B37" s="3">
        <v>11</v>
      </c>
      <c r="C37" s="3" t="s">
        <v>53</v>
      </c>
      <c r="D37" s="3" t="s">
        <v>21</v>
      </c>
      <c r="E37" s="3" t="s">
        <v>22</v>
      </c>
      <c r="F37" s="2" t="s">
        <v>68</v>
      </c>
      <c r="G37" s="14" t="s">
        <v>219</v>
      </c>
      <c r="H37" s="2" t="s">
        <v>220</v>
      </c>
      <c r="I37" s="2" t="s">
        <v>221</v>
      </c>
      <c r="J37" s="14" t="s">
        <v>222</v>
      </c>
    </row>
    <row r="38" spans="1:10" ht="19.2" customHeight="1">
      <c r="A38" s="3" t="s">
        <v>67</v>
      </c>
      <c r="B38" s="3">
        <v>11</v>
      </c>
      <c r="C38" s="3" t="s">
        <v>53</v>
      </c>
      <c r="D38" s="3" t="s">
        <v>21</v>
      </c>
      <c r="E38" s="3" t="s">
        <v>22</v>
      </c>
      <c r="F38" s="2" t="s">
        <v>68</v>
      </c>
      <c r="G38" s="14" t="s">
        <v>223</v>
      </c>
      <c r="H38" s="2" t="s">
        <v>224</v>
      </c>
      <c r="I38" s="2" t="s">
        <v>225</v>
      </c>
      <c r="J38" s="14" t="s">
        <v>226</v>
      </c>
    </row>
    <row r="39" spans="1:10" ht="19.2" customHeight="1">
      <c r="A39" s="3" t="s">
        <v>71</v>
      </c>
      <c r="B39" s="3">
        <v>12</v>
      </c>
      <c r="C39" s="3" t="s">
        <v>27</v>
      </c>
      <c r="D39" s="3" t="s">
        <v>21</v>
      </c>
      <c r="E39" s="3" t="s">
        <v>22</v>
      </c>
      <c r="F39" s="2" t="s">
        <v>72</v>
      </c>
      <c r="G39" s="14" t="s">
        <v>227</v>
      </c>
      <c r="H39" s="2" t="s">
        <v>228</v>
      </c>
      <c r="I39" s="2" t="s">
        <v>229</v>
      </c>
      <c r="J39" s="14" t="s">
        <v>230</v>
      </c>
    </row>
    <row r="40" spans="1:10" ht="19.2" customHeight="1">
      <c r="A40" s="3" t="s">
        <v>71</v>
      </c>
      <c r="B40" s="3">
        <v>12</v>
      </c>
      <c r="C40" s="3" t="s">
        <v>27</v>
      </c>
      <c r="D40" s="3" t="s">
        <v>21</v>
      </c>
      <c r="E40" s="3" t="s">
        <v>22</v>
      </c>
      <c r="F40" s="2" t="s">
        <v>72</v>
      </c>
      <c r="G40" s="14" t="s">
        <v>231</v>
      </c>
      <c r="H40" s="2" t="s">
        <v>232</v>
      </c>
      <c r="I40" s="2" t="s">
        <v>233</v>
      </c>
      <c r="J40" s="14" t="s">
        <v>234</v>
      </c>
    </row>
    <row r="41" spans="1:10" ht="19.2" customHeight="1">
      <c r="A41" s="3" t="s">
        <v>71</v>
      </c>
      <c r="B41" s="3">
        <v>12</v>
      </c>
      <c r="C41" s="3" t="s">
        <v>27</v>
      </c>
      <c r="D41" s="3" t="s">
        <v>21</v>
      </c>
      <c r="E41" s="3" t="s">
        <v>22</v>
      </c>
      <c r="F41" s="2" t="s">
        <v>72</v>
      </c>
      <c r="G41" s="14" t="s">
        <v>235</v>
      </c>
      <c r="H41" s="2" t="s">
        <v>236</v>
      </c>
      <c r="I41" s="2" t="s">
        <v>237</v>
      </c>
      <c r="J41" s="14" t="s">
        <v>238</v>
      </c>
    </row>
    <row r="42" spans="1:10" ht="19.2" customHeight="1">
      <c r="A42" s="3" t="s">
        <v>71</v>
      </c>
      <c r="B42" s="3">
        <v>12</v>
      </c>
      <c r="C42" s="3" t="s">
        <v>27</v>
      </c>
      <c r="D42" s="3" t="s">
        <v>21</v>
      </c>
      <c r="E42" s="3" t="s">
        <v>22</v>
      </c>
      <c r="F42" s="2" t="s">
        <v>72</v>
      </c>
      <c r="G42" s="14" t="s">
        <v>239</v>
      </c>
      <c r="H42" s="2" t="s">
        <v>240</v>
      </c>
      <c r="I42" s="2" t="s">
        <v>241</v>
      </c>
      <c r="J42" s="14" t="s">
        <v>242</v>
      </c>
    </row>
    <row r="43" spans="1:10" ht="19.2" customHeight="1">
      <c r="A43" s="3" t="s">
        <v>71</v>
      </c>
      <c r="B43" s="3">
        <v>12</v>
      </c>
      <c r="C43" s="3" t="s">
        <v>27</v>
      </c>
      <c r="D43" s="3" t="s">
        <v>21</v>
      </c>
      <c r="E43" s="3" t="s">
        <v>22</v>
      </c>
      <c r="F43" s="2" t="s">
        <v>72</v>
      </c>
      <c r="G43" s="14" t="s">
        <v>243</v>
      </c>
      <c r="H43" s="2" t="s">
        <v>244</v>
      </c>
      <c r="I43" s="2" t="s">
        <v>245</v>
      </c>
      <c r="J43" s="14" t="s">
        <v>246</v>
      </c>
    </row>
    <row r="44" spans="1:10" ht="19.2" customHeight="1">
      <c r="A44" s="3" t="s">
        <v>71</v>
      </c>
      <c r="B44" s="3">
        <v>12</v>
      </c>
      <c r="C44" s="3" t="s">
        <v>27</v>
      </c>
      <c r="D44" s="3" t="s">
        <v>21</v>
      </c>
      <c r="E44" s="3" t="s">
        <v>22</v>
      </c>
      <c r="F44" s="2" t="s">
        <v>72</v>
      </c>
      <c r="G44" s="14" t="s">
        <v>247</v>
      </c>
      <c r="H44" s="2" t="s">
        <v>248</v>
      </c>
      <c r="I44" s="2" t="s">
        <v>249</v>
      </c>
      <c r="J44" s="14" t="s">
        <v>250</v>
      </c>
    </row>
    <row r="45" spans="1:10" ht="19.2" customHeight="1">
      <c r="A45" s="3" t="s">
        <v>75</v>
      </c>
      <c r="B45" s="3">
        <v>13</v>
      </c>
      <c r="C45" s="3" t="s">
        <v>27</v>
      </c>
      <c r="D45" s="3" t="s">
        <v>21</v>
      </c>
      <c r="E45" s="3" t="s">
        <v>22</v>
      </c>
      <c r="F45" s="2" t="s">
        <v>76</v>
      </c>
      <c r="G45" s="14" t="s">
        <v>251</v>
      </c>
      <c r="H45" s="2" t="s">
        <v>252</v>
      </c>
      <c r="I45" s="2" t="s">
        <v>253</v>
      </c>
      <c r="J45" s="14" t="s">
        <v>254</v>
      </c>
    </row>
    <row r="46" spans="1:10" ht="19.2" customHeight="1">
      <c r="A46" s="3" t="s">
        <v>75</v>
      </c>
      <c r="B46" s="3">
        <v>13</v>
      </c>
      <c r="C46" s="3" t="s">
        <v>27</v>
      </c>
      <c r="D46" s="3" t="s">
        <v>21</v>
      </c>
      <c r="E46" s="3" t="s">
        <v>22</v>
      </c>
      <c r="F46" s="2" t="s">
        <v>76</v>
      </c>
      <c r="G46" s="14" t="s">
        <v>255</v>
      </c>
      <c r="H46" s="2" t="s">
        <v>256</v>
      </c>
      <c r="I46" s="2" t="s">
        <v>257</v>
      </c>
      <c r="J46" s="14" t="s">
        <v>258</v>
      </c>
    </row>
    <row r="47" spans="1:10" ht="19.2" customHeight="1">
      <c r="A47" s="3" t="s">
        <v>79</v>
      </c>
      <c r="B47" s="3">
        <v>14</v>
      </c>
      <c r="C47" s="3" t="s">
        <v>80</v>
      </c>
      <c r="D47" s="3" t="s">
        <v>21</v>
      </c>
      <c r="E47" s="3" t="s">
        <v>22</v>
      </c>
      <c r="F47" s="2" t="s">
        <v>81</v>
      </c>
      <c r="G47" s="14" t="s">
        <v>83</v>
      </c>
      <c r="H47" s="2" t="s">
        <v>82</v>
      </c>
      <c r="I47" s="2" t="s">
        <v>259</v>
      </c>
      <c r="J47" s="14" t="s">
        <v>260</v>
      </c>
    </row>
    <row r="48" spans="1:10" ht="19.2" customHeight="1">
      <c r="A48" s="3" t="s">
        <v>84</v>
      </c>
      <c r="B48" s="3">
        <v>15</v>
      </c>
      <c r="C48" s="3" t="s">
        <v>27</v>
      </c>
      <c r="D48" s="3" t="s">
        <v>21</v>
      </c>
      <c r="E48" s="3" t="s">
        <v>22</v>
      </c>
      <c r="F48" s="2" t="s">
        <v>85</v>
      </c>
      <c r="G48" s="14" t="s">
        <v>261</v>
      </c>
      <c r="H48" s="2" t="s">
        <v>262</v>
      </c>
      <c r="I48" s="2" t="s">
        <v>263</v>
      </c>
      <c r="J48" s="14" t="s">
        <v>264</v>
      </c>
    </row>
    <row r="49" spans="1:10" ht="19.2" customHeight="1">
      <c r="A49" s="3" t="s">
        <v>84</v>
      </c>
      <c r="B49" s="3">
        <v>15</v>
      </c>
      <c r="C49" s="3" t="s">
        <v>27</v>
      </c>
      <c r="D49" s="3" t="s">
        <v>21</v>
      </c>
      <c r="E49" s="3" t="s">
        <v>22</v>
      </c>
      <c r="F49" s="2" t="s">
        <v>85</v>
      </c>
      <c r="G49" s="14" t="s">
        <v>265</v>
      </c>
      <c r="H49" s="2" t="s">
        <v>266</v>
      </c>
      <c r="I49" s="2" t="s">
        <v>267</v>
      </c>
      <c r="J49" s="14" t="s">
        <v>268</v>
      </c>
    </row>
    <row r="50" spans="1:10" ht="19.2" customHeight="1">
      <c r="A50" s="3" t="s">
        <v>84</v>
      </c>
      <c r="B50" s="3">
        <v>15</v>
      </c>
      <c r="C50" s="3" t="s">
        <v>27</v>
      </c>
      <c r="D50" s="3" t="s">
        <v>21</v>
      </c>
      <c r="E50" s="3" t="s">
        <v>22</v>
      </c>
      <c r="F50" s="2" t="s">
        <v>85</v>
      </c>
      <c r="G50" s="14" t="s">
        <v>269</v>
      </c>
      <c r="H50" s="2" t="s">
        <v>270</v>
      </c>
      <c r="I50" s="2" t="s">
        <v>271</v>
      </c>
      <c r="J50" s="14" t="s">
        <v>272</v>
      </c>
    </row>
    <row r="51" spans="1:10" ht="19.2" customHeight="1">
      <c r="A51" s="3" t="s">
        <v>84</v>
      </c>
      <c r="B51" s="3">
        <v>15</v>
      </c>
      <c r="C51" s="3" t="s">
        <v>27</v>
      </c>
      <c r="D51" s="3" t="s">
        <v>21</v>
      </c>
      <c r="E51" s="3" t="s">
        <v>22</v>
      </c>
      <c r="F51" s="2" t="s">
        <v>85</v>
      </c>
      <c r="G51" s="14" t="s">
        <v>273</v>
      </c>
      <c r="H51" s="2" t="s">
        <v>274</v>
      </c>
      <c r="I51" s="2" t="s">
        <v>275</v>
      </c>
      <c r="J51" s="14" t="s">
        <v>276</v>
      </c>
    </row>
    <row r="52" spans="1:10" ht="19.2" customHeight="1">
      <c r="A52" s="3" t="s">
        <v>84</v>
      </c>
      <c r="B52" s="3">
        <v>15</v>
      </c>
      <c r="C52" s="3" t="s">
        <v>27</v>
      </c>
      <c r="D52" s="3" t="s">
        <v>21</v>
      </c>
      <c r="E52" s="3" t="s">
        <v>22</v>
      </c>
      <c r="F52" s="2" t="s">
        <v>85</v>
      </c>
      <c r="G52" s="14" t="s">
        <v>277</v>
      </c>
      <c r="H52" s="2" t="s">
        <v>278</v>
      </c>
      <c r="I52" s="2" t="s">
        <v>279</v>
      </c>
      <c r="J52" s="14" t="s">
        <v>280</v>
      </c>
    </row>
    <row r="53" spans="1:10" ht="19.2" customHeight="1">
      <c r="A53" s="3" t="s">
        <v>84</v>
      </c>
      <c r="B53" s="3">
        <v>15</v>
      </c>
      <c r="C53" s="3" t="s">
        <v>27</v>
      </c>
      <c r="D53" s="3" t="s">
        <v>21</v>
      </c>
      <c r="E53" s="3" t="s">
        <v>22</v>
      </c>
      <c r="F53" s="2" t="s">
        <v>85</v>
      </c>
      <c r="G53" s="14" t="s">
        <v>281</v>
      </c>
      <c r="H53" s="2" t="s">
        <v>282</v>
      </c>
      <c r="I53" s="2" t="s">
        <v>283</v>
      </c>
      <c r="J53" s="14" t="s">
        <v>284</v>
      </c>
    </row>
    <row r="54" spans="1:10" ht="19.2" customHeight="1">
      <c r="A54" s="3" t="s">
        <v>88</v>
      </c>
      <c r="B54" s="3">
        <v>16</v>
      </c>
      <c r="C54" s="3"/>
      <c r="D54" s="3"/>
      <c r="E54" s="3"/>
      <c r="F54" s="2" t="s">
        <v>89</v>
      </c>
      <c r="G54" s="14" t="s">
        <v>91</v>
      </c>
      <c r="H54" s="2" t="s">
        <v>90</v>
      </c>
      <c r="I54" s="2" t="s">
        <v>285</v>
      </c>
      <c r="J54" s="14" t="s">
        <v>286</v>
      </c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6"/>
  <sheetViews>
    <sheetView tabSelected="1" workbookViewId="0">
      <selection sqref="A1:D1"/>
    </sheetView>
  </sheetViews>
  <sheetFormatPr defaultRowHeight="13.8"/>
  <cols>
    <col min="1" max="1" width="28" customWidth="1"/>
    <col min="2" max="2" width="18" customWidth="1"/>
    <col min="3" max="3" width="52" customWidth="1"/>
    <col min="4" max="4" width="44" customWidth="1"/>
  </cols>
  <sheetData>
    <row r="1" spans="1:4" ht="24" customHeight="1">
      <c r="A1" s="23" t="s">
        <v>287</v>
      </c>
      <c r="B1" s="23"/>
      <c r="C1" s="23"/>
      <c r="D1" s="23"/>
    </row>
    <row r="2" spans="1:4" ht="28.8" customHeight="1">
      <c r="A2" s="24" t="s">
        <v>288</v>
      </c>
      <c r="B2" s="24"/>
      <c r="C2" s="24"/>
      <c r="D2" s="24"/>
    </row>
    <row r="4" spans="1:4" ht="27.15" customHeight="1">
      <c r="A4" s="7" t="s">
        <v>289</v>
      </c>
      <c r="B4" s="7" t="s">
        <v>290</v>
      </c>
      <c r="C4" s="7" t="s">
        <v>291</v>
      </c>
      <c r="D4" s="7" t="s">
        <v>292</v>
      </c>
    </row>
    <row r="5" spans="1:4" ht="49.65" customHeight="1">
      <c r="A5" s="8" t="s">
        <v>293</v>
      </c>
      <c r="B5" s="9">
        <v>40</v>
      </c>
      <c r="C5" s="8" t="s">
        <v>294</v>
      </c>
      <c r="D5" s="8" t="s">
        <v>295</v>
      </c>
    </row>
    <row r="6" spans="1:4" ht="49.65" customHeight="1">
      <c r="A6" s="8" t="s">
        <v>296</v>
      </c>
      <c r="B6" s="9">
        <v>30</v>
      </c>
      <c r="C6" s="8" t="s">
        <v>297</v>
      </c>
      <c r="D6" s="8" t="s">
        <v>298</v>
      </c>
    </row>
    <row r="7" spans="1:4" ht="49.65" customHeight="1">
      <c r="A7" s="8" t="s">
        <v>299</v>
      </c>
      <c r="B7" s="9">
        <v>30</v>
      </c>
      <c r="C7" s="8" t="s">
        <v>300</v>
      </c>
      <c r="D7" s="8" t="s">
        <v>298</v>
      </c>
    </row>
    <row r="8" spans="1:4" ht="28.05" customHeight="1">
      <c r="A8" s="10" t="s">
        <v>301</v>
      </c>
      <c r="B8" s="4">
        <v>100</v>
      </c>
      <c r="C8" s="10" t="s">
        <v>302</v>
      </c>
      <c r="D8" s="10" t="s">
        <v>303</v>
      </c>
    </row>
    <row r="10" spans="1:4" ht="19.2" customHeight="1">
      <c r="A10" s="25" t="s">
        <v>304</v>
      </c>
      <c r="B10" s="25"/>
      <c r="C10" s="25"/>
      <c r="D10" s="25"/>
    </row>
    <row r="11" spans="1:4" ht="25.65" customHeight="1">
      <c r="A11" s="11" t="s">
        <v>305</v>
      </c>
      <c r="B11" s="11" t="s">
        <v>306</v>
      </c>
      <c r="C11" s="11" t="s">
        <v>307</v>
      </c>
      <c r="D11" s="11" t="s">
        <v>308</v>
      </c>
    </row>
    <row r="12" spans="1:4" ht="38.4" customHeight="1">
      <c r="A12" s="8" t="s">
        <v>309</v>
      </c>
      <c r="B12" s="8" t="s">
        <v>310</v>
      </c>
      <c r="C12" s="8" t="s">
        <v>311</v>
      </c>
      <c r="D12" s="8" t="s">
        <v>312</v>
      </c>
    </row>
    <row r="13" spans="1:4" ht="38.4" customHeight="1">
      <c r="A13" s="8" t="s">
        <v>313</v>
      </c>
      <c r="B13" s="8" t="s">
        <v>314</v>
      </c>
      <c r="C13" s="8" t="s">
        <v>315</v>
      </c>
      <c r="D13" s="8" t="s">
        <v>316</v>
      </c>
    </row>
    <row r="14" spans="1:4" ht="38.4" customHeight="1">
      <c r="A14" s="8" t="s">
        <v>317</v>
      </c>
      <c r="B14" s="8" t="s">
        <v>318</v>
      </c>
      <c r="C14" s="8" t="s">
        <v>319</v>
      </c>
      <c r="D14" s="8" t="s">
        <v>320</v>
      </c>
    </row>
    <row r="15" spans="1:4" ht="38.4" customHeight="1">
      <c r="A15" s="8" t="s">
        <v>321</v>
      </c>
      <c r="B15" s="8" t="s">
        <v>322</v>
      </c>
      <c r="C15" s="8" t="s">
        <v>323</v>
      </c>
      <c r="D15" s="8" t="s">
        <v>324</v>
      </c>
    </row>
    <row r="16" spans="1:4" ht="38.4" customHeight="1">
      <c r="A16" s="8" t="s">
        <v>325</v>
      </c>
      <c r="B16" s="8" t="s">
        <v>326</v>
      </c>
      <c r="C16" s="8" t="s">
        <v>327</v>
      </c>
      <c r="D16" s="8" t="s">
        <v>328</v>
      </c>
    </row>
  </sheetData>
  <mergeCells count="3">
    <mergeCell ref="A1:D1"/>
    <mergeCell ref="A2:D2"/>
    <mergeCell ref="A10:D10"/>
  </mergeCells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7"/>
  <sheetViews>
    <sheetView workbookViewId="0"/>
  </sheetViews>
  <sheetFormatPr defaultRowHeight="13.8"/>
  <cols>
    <col min="1" max="1" width="12" customWidth="1"/>
    <col min="2" max="3" width="20" customWidth="1"/>
    <col min="4" max="4" width="15" customWidth="1"/>
    <col min="5" max="5" width="18" customWidth="1"/>
    <col min="6" max="6" width="16" customWidth="1"/>
    <col min="7" max="7" width="13" customWidth="1"/>
    <col min="8" max="8" width="20" customWidth="1"/>
    <col min="9" max="9" width="45" customWidth="1"/>
    <col min="10" max="10" width="20" customWidth="1"/>
    <col min="11" max="11" width="24" customWidth="1"/>
    <col min="12" max="12" width="32" customWidth="1"/>
    <col min="13" max="13" width="17" customWidth="1"/>
    <col min="14" max="14" width="20" customWidth="1"/>
    <col min="15" max="15" width="24" customWidth="1"/>
    <col min="16" max="16" width="32" customWidth="1"/>
    <col min="17" max="17" width="17" customWidth="1"/>
    <col min="18" max="18" width="20" customWidth="1"/>
    <col min="19" max="19" width="24" customWidth="1"/>
    <col min="20" max="20" width="32" customWidth="1"/>
    <col min="21" max="21" width="17" customWidth="1"/>
    <col min="22" max="22" width="20" customWidth="1"/>
    <col min="23" max="23" width="24" customWidth="1"/>
    <col min="24" max="24" width="32" customWidth="1"/>
    <col min="25" max="25" width="17" customWidth="1"/>
    <col min="26" max="26" width="20" customWidth="1"/>
    <col min="27" max="27" width="24" customWidth="1"/>
    <col min="28" max="28" width="32" customWidth="1"/>
    <col min="29" max="29" width="17" customWidth="1"/>
    <col min="30" max="30" width="20" customWidth="1"/>
    <col min="31" max="31" width="24" customWidth="1"/>
    <col min="32" max="32" width="32" customWidth="1"/>
    <col min="33" max="33" width="17" customWidth="1"/>
  </cols>
  <sheetData>
    <row r="1" spans="1:33" ht="43.2" customHeight="1">
      <c r="A1" s="12" t="s">
        <v>329</v>
      </c>
      <c r="B1" s="12" t="s">
        <v>330</v>
      </c>
      <c r="C1" s="12" t="s">
        <v>331</v>
      </c>
      <c r="D1" s="12" t="s">
        <v>332</v>
      </c>
      <c r="E1" s="12" t="s">
        <v>333</v>
      </c>
      <c r="F1" s="12" t="s">
        <v>334</v>
      </c>
      <c r="G1" s="12" t="s">
        <v>335</v>
      </c>
      <c r="H1" s="12" t="s">
        <v>336</v>
      </c>
      <c r="I1" s="12" t="s">
        <v>337</v>
      </c>
      <c r="J1" s="12" t="s">
        <v>338</v>
      </c>
      <c r="K1" s="12" t="s">
        <v>339</v>
      </c>
      <c r="L1" s="12" t="s">
        <v>340</v>
      </c>
      <c r="M1" s="12" t="s">
        <v>341</v>
      </c>
      <c r="N1" s="12" t="s">
        <v>342</v>
      </c>
      <c r="O1" s="12" t="s">
        <v>343</v>
      </c>
      <c r="P1" s="12" t="s">
        <v>344</v>
      </c>
      <c r="Q1" s="12" t="s">
        <v>345</v>
      </c>
      <c r="R1" s="12" t="s">
        <v>346</v>
      </c>
      <c r="S1" s="12" t="s">
        <v>347</v>
      </c>
      <c r="T1" s="12" t="s">
        <v>348</v>
      </c>
      <c r="U1" s="12" t="s">
        <v>349</v>
      </c>
      <c r="V1" s="12" t="s">
        <v>350</v>
      </c>
      <c r="W1" s="12" t="s">
        <v>351</v>
      </c>
      <c r="X1" s="12" t="s">
        <v>352</v>
      </c>
      <c r="Y1" s="12" t="s">
        <v>353</v>
      </c>
      <c r="Z1" s="12" t="s">
        <v>354</v>
      </c>
      <c r="AA1" s="12" t="s">
        <v>355</v>
      </c>
      <c r="AB1" s="12" t="s">
        <v>356</v>
      </c>
      <c r="AC1" s="12" t="s">
        <v>357</v>
      </c>
      <c r="AD1" s="12" t="s">
        <v>358</v>
      </c>
      <c r="AE1" s="12" t="s">
        <v>359</v>
      </c>
      <c r="AF1" s="12" t="s">
        <v>360</v>
      </c>
      <c r="AG1" s="12" t="s">
        <v>361</v>
      </c>
    </row>
    <row r="2" spans="1:33" ht="19.2" customHeight="1">
      <c r="A2" s="2">
        <v>1</v>
      </c>
      <c r="B2" s="13">
        <v>46263.693379629629</v>
      </c>
      <c r="C2" s="13">
        <v>46263.696620370371</v>
      </c>
      <c r="D2" s="2" t="s">
        <v>362</v>
      </c>
      <c r="E2" s="2"/>
      <c r="F2" s="2" t="s">
        <v>20</v>
      </c>
      <c r="G2" s="2" t="s">
        <v>21</v>
      </c>
      <c r="H2" s="2" t="s">
        <v>22</v>
      </c>
      <c r="I2" s="2" t="s">
        <v>23</v>
      </c>
      <c r="J2" s="14" t="s">
        <v>98</v>
      </c>
      <c r="K2" s="2" t="s">
        <v>99</v>
      </c>
      <c r="L2" s="2" t="s">
        <v>100</v>
      </c>
      <c r="M2" s="14" t="s">
        <v>101</v>
      </c>
      <c r="N2" s="14" t="s">
        <v>102</v>
      </c>
      <c r="O2" s="2" t="s">
        <v>103</v>
      </c>
      <c r="P2" s="2" t="s">
        <v>104</v>
      </c>
      <c r="Q2" s="14" t="s">
        <v>105</v>
      </c>
      <c r="R2" s="14"/>
      <c r="S2" s="2"/>
      <c r="T2" s="2"/>
      <c r="U2" s="14"/>
      <c r="V2" s="14"/>
      <c r="W2" s="2"/>
      <c r="X2" s="2"/>
      <c r="Y2" s="14"/>
      <c r="Z2" s="14"/>
      <c r="AA2" s="2"/>
      <c r="AB2" s="2"/>
      <c r="AC2" s="14"/>
      <c r="AD2" s="14"/>
      <c r="AE2" s="2"/>
      <c r="AF2" s="2"/>
      <c r="AG2" s="14"/>
    </row>
    <row r="3" spans="1:33" ht="19.2" customHeight="1">
      <c r="A3" s="2">
        <v>2</v>
      </c>
      <c r="B3" s="13">
        <v>46263.693668981483</v>
      </c>
      <c r="C3" s="13">
        <v>46263.697731481479</v>
      </c>
      <c r="D3" s="2" t="s">
        <v>362</v>
      </c>
      <c r="E3" s="2"/>
      <c r="F3" s="2" t="s">
        <v>27</v>
      </c>
      <c r="G3" s="2" t="s">
        <v>21</v>
      </c>
      <c r="H3" s="2" t="s">
        <v>22</v>
      </c>
      <c r="I3" s="2" t="s">
        <v>28</v>
      </c>
      <c r="J3" s="14" t="s">
        <v>106</v>
      </c>
      <c r="K3" s="2" t="s">
        <v>107</v>
      </c>
      <c r="L3" s="2" t="s">
        <v>108</v>
      </c>
      <c r="M3" s="14" t="s">
        <v>109</v>
      </c>
      <c r="N3" s="14" t="s">
        <v>110</v>
      </c>
      <c r="O3" s="2" t="s">
        <v>111</v>
      </c>
      <c r="P3" s="2" t="s">
        <v>112</v>
      </c>
      <c r="Q3" s="14" t="s">
        <v>113</v>
      </c>
      <c r="R3" s="14" t="s">
        <v>114</v>
      </c>
      <c r="S3" s="2" t="s">
        <v>115</v>
      </c>
      <c r="T3" s="2" t="s">
        <v>116</v>
      </c>
      <c r="U3" s="14" t="s">
        <v>117</v>
      </c>
      <c r="V3" s="14"/>
      <c r="W3" s="2"/>
      <c r="X3" s="2"/>
      <c r="Y3" s="14"/>
      <c r="Z3" s="14"/>
      <c r="AA3" s="2"/>
      <c r="AB3" s="2"/>
      <c r="AC3" s="14"/>
      <c r="AD3" s="14"/>
      <c r="AE3" s="2"/>
      <c r="AF3" s="2"/>
      <c r="AG3" s="14"/>
    </row>
    <row r="4" spans="1:33" ht="19.2" customHeight="1">
      <c r="A4" s="2">
        <v>3</v>
      </c>
      <c r="B4" s="13">
        <v>46263.693414351852</v>
      </c>
      <c r="C4" s="13">
        <v>46263.697962962964</v>
      </c>
      <c r="D4" s="2" t="s">
        <v>362</v>
      </c>
      <c r="E4" s="2"/>
      <c r="F4" s="2" t="s">
        <v>32</v>
      </c>
      <c r="G4" s="2" t="s">
        <v>21</v>
      </c>
      <c r="H4" s="2" t="s">
        <v>22</v>
      </c>
      <c r="I4" s="2" t="s">
        <v>33</v>
      </c>
      <c r="J4" s="14" t="s">
        <v>35</v>
      </c>
      <c r="K4" s="2" t="s">
        <v>34</v>
      </c>
      <c r="L4" s="2" t="s">
        <v>118</v>
      </c>
      <c r="M4" s="14" t="s">
        <v>119</v>
      </c>
      <c r="N4" s="14"/>
      <c r="O4" s="2"/>
      <c r="P4" s="2"/>
      <c r="Q4" s="14"/>
      <c r="R4" s="14"/>
      <c r="S4" s="2"/>
      <c r="T4" s="2"/>
      <c r="U4" s="14"/>
      <c r="V4" s="14"/>
      <c r="W4" s="2"/>
      <c r="X4" s="2"/>
      <c r="Y4" s="14"/>
      <c r="Z4" s="14"/>
      <c r="AA4" s="2"/>
      <c r="AB4" s="2"/>
      <c r="AC4" s="14"/>
      <c r="AD4" s="14"/>
      <c r="AE4" s="2"/>
      <c r="AF4" s="2"/>
      <c r="AG4" s="14"/>
    </row>
    <row r="5" spans="1:33" ht="19.2" customHeight="1">
      <c r="A5" s="2">
        <v>4</v>
      </c>
      <c r="B5" s="13">
        <v>46263.697581018518</v>
      </c>
      <c r="C5" s="13">
        <v>46263.698310185187</v>
      </c>
      <c r="D5" s="2" t="s">
        <v>362</v>
      </c>
      <c r="E5" s="2"/>
      <c r="F5" s="2" t="s">
        <v>27</v>
      </c>
      <c r="G5" s="2" t="s">
        <v>21</v>
      </c>
      <c r="H5" s="2" t="s">
        <v>22</v>
      </c>
      <c r="I5" s="2" t="s">
        <v>37</v>
      </c>
      <c r="J5" s="14" t="s">
        <v>39</v>
      </c>
      <c r="K5" s="2" t="s">
        <v>38</v>
      </c>
      <c r="L5" s="2" t="s">
        <v>120</v>
      </c>
      <c r="M5" s="14" t="s">
        <v>121</v>
      </c>
      <c r="N5" s="14"/>
      <c r="O5" s="2"/>
      <c r="P5" s="2"/>
      <c r="Q5" s="14"/>
      <c r="R5" s="14"/>
      <c r="S5" s="2"/>
      <c r="T5" s="2"/>
      <c r="U5" s="14"/>
      <c r="V5" s="14"/>
      <c r="W5" s="2"/>
      <c r="X5" s="2"/>
      <c r="Y5" s="14"/>
      <c r="Z5" s="14"/>
      <c r="AA5" s="2"/>
      <c r="AB5" s="2"/>
      <c r="AC5" s="14"/>
      <c r="AD5" s="14"/>
      <c r="AE5" s="2"/>
      <c r="AF5" s="2"/>
      <c r="AG5" s="14"/>
    </row>
    <row r="6" spans="1:33" ht="19.2" customHeight="1">
      <c r="A6" s="2">
        <v>5</v>
      </c>
      <c r="B6" s="13">
        <v>46263.693645833337</v>
      </c>
      <c r="C6" s="13">
        <v>46263.698634259257</v>
      </c>
      <c r="D6" s="2" t="s">
        <v>362</v>
      </c>
      <c r="E6" s="2"/>
      <c r="F6" s="2" t="s">
        <v>32</v>
      </c>
      <c r="G6" s="2" t="s">
        <v>21</v>
      </c>
      <c r="H6" s="2" t="s">
        <v>22</v>
      </c>
      <c r="I6" s="2" t="s">
        <v>41</v>
      </c>
      <c r="J6" s="14" t="s">
        <v>122</v>
      </c>
      <c r="K6" s="2" t="s">
        <v>123</v>
      </c>
      <c r="L6" s="2" t="s">
        <v>124</v>
      </c>
      <c r="M6" s="14" t="s">
        <v>125</v>
      </c>
      <c r="N6" s="14" t="s">
        <v>126</v>
      </c>
      <c r="O6" s="2" t="s">
        <v>127</v>
      </c>
      <c r="P6" s="2" t="s">
        <v>128</v>
      </c>
      <c r="Q6" s="14" t="s">
        <v>129</v>
      </c>
      <c r="R6" s="14" t="s">
        <v>130</v>
      </c>
      <c r="S6" s="2" t="s">
        <v>131</v>
      </c>
      <c r="T6" s="2" t="s">
        <v>132</v>
      </c>
      <c r="U6" s="14" t="s">
        <v>133</v>
      </c>
      <c r="V6" s="14" t="s">
        <v>134</v>
      </c>
      <c r="W6" s="2" t="s">
        <v>135</v>
      </c>
      <c r="X6" s="2" t="s">
        <v>136</v>
      </c>
      <c r="Y6" s="14" t="s">
        <v>137</v>
      </c>
      <c r="Z6" s="14" t="s">
        <v>138</v>
      </c>
      <c r="AA6" s="2" t="s">
        <v>139</v>
      </c>
      <c r="AB6" s="2" t="s">
        <v>140</v>
      </c>
      <c r="AC6" s="14" t="s">
        <v>141</v>
      </c>
      <c r="AD6" s="14"/>
      <c r="AE6" s="2"/>
      <c r="AF6" s="2"/>
      <c r="AG6" s="14"/>
    </row>
    <row r="7" spans="1:33" ht="19.2" customHeight="1">
      <c r="A7" s="2">
        <v>6</v>
      </c>
      <c r="B7" s="13">
        <v>46263.694224537037</v>
      </c>
      <c r="C7" s="13">
        <v>46263.699143518519</v>
      </c>
      <c r="D7" s="2" t="s">
        <v>362</v>
      </c>
      <c r="E7" s="2"/>
      <c r="F7" s="2" t="s">
        <v>27</v>
      </c>
      <c r="G7" s="2" t="s">
        <v>21</v>
      </c>
      <c r="H7" s="2" t="s">
        <v>22</v>
      </c>
      <c r="I7" s="2" t="s">
        <v>45</v>
      </c>
      <c r="J7" s="14" t="s">
        <v>47</v>
      </c>
      <c r="K7" s="2" t="s">
        <v>46</v>
      </c>
      <c r="L7" s="2" t="s">
        <v>142</v>
      </c>
      <c r="M7" s="14" t="s">
        <v>143</v>
      </c>
      <c r="N7" s="14"/>
      <c r="O7" s="2"/>
      <c r="P7" s="2"/>
      <c r="Q7" s="14"/>
      <c r="R7" s="14"/>
      <c r="S7" s="2"/>
      <c r="T7" s="2"/>
      <c r="U7" s="14"/>
      <c r="V7" s="14"/>
      <c r="W7" s="2"/>
      <c r="X7" s="2"/>
      <c r="Y7" s="14"/>
      <c r="Z7" s="14"/>
      <c r="AA7" s="2"/>
      <c r="AB7" s="2"/>
      <c r="AC7" s="14"/>
      <c r="AD7" s="14"/>
      <c r="AE7" s="2"/>
      <c r="AF7" s="2"/>
      <c r="AG7" s="14"/>
    </row>
    <row r="8" spans="1:33" ht="19.2" customHeight="1">
      <c r="A8" s="2">
        <v>7</v>
      </c>
      <c r="B8" s="13">
        <v>46263.693229166667</v>
      </c>
      <c r="C8" s="13">
        <v>46263.699548611112</v>
      </c>
      <c r="D8" s="2" t="s">
        <v>362</v>
      </c>
      <c r="E8" s="2"/>
      <c r="F8" s="2" t="s">
        <v>27</v>
      </c>
      <c r="G8" s="2" t="s">
        <v>21</v>
      </c>
      <c r="H8" s="2" t="s">
        <v>22</v>
      </c>
      <c r="I8" s="2" t="s">
        <v>49</v>
      </c>
      <c r="J8" s="14" t="s">
        <v>144</v>
      </c>
      <c r="K8" s="2" t="s">
        <v>145</v>
      </c>
      <c r="L8" s="2" t="s">
        <v>146</v>
      </c>
      <c r="M8" s="14" t="s">
        <v>147</v>
      </c>
      <c r="N8" s="14" t="s">
        <v>148</v>
      </c>
      <c r="O8" s="2" t="s">
        <v>149</v>
      </c>
      <c r="P8" s="2" t="s">
        <v>150</v>
      </c>
      <c r="Q8" s="14" t="s">
        <v>151</v>
      </c>
      <c r="R8" s="14" t="s">
        <v>152</v>
      </c>
      <c r="S8" s="2" t="s">
        <v>153</v>
      </c>
      <c r="T8" s="2" t="s">
        <v>154</v>
      </c>
      <c r="U8" s="14" t="s">
        <v>155</v>
      </c>
      <c r="V8" s="14" t="s">
        <v>156</v>
      </c>
      <c r="W8" s="2" t="s">
        <v>157</v>
      </c>
      <c r="X8" s="2" t="s">
        <v>158</v>
      </c>
      <c r="Y8" s="14" t="s">
        <v>159</v>
      </c>
      <c r="Z8" s="14"/>
      <c r="AA8" s="2"/>
      <c r="AB8" s="2"/>
      <c r="AC8" s="14"/>
      <c r="AD8" s="14"/>
      <c r="AE8" s="2"/>
      <c r="AF8" s="2"/>
      <c r="AG8" s="14"/>
    </row>
    <row r="9" spans="1:33" ht="19.2" customHeight="1">
      <c r="A9" s="2">
        <v>8</v>
      </c>
      <c r="B9" s="13">
        <v>46263.695034722223</v>
      </c>
      <c r="C9" s="13">
        <v>46263.699861111112</v>
      </c>
      <c r="D9" s="2" t="s">
        <v>362</v>
      </c>
      <c r="E9" s="2"/>
      <c r="F9" s="2" t="s">
        <v>53</v>
      </c>
      <c r="G9" s="2" t="s">
        <v>21</v>
      </c>
      <c r="H9" s="2" t="s">
        <v>22</v>
      </c>
      <c r="I9" s="2" t="s">
        <v>54</v>
      </c>
      <c r="J9" s="14" t="s">
        <v>160</v>
      </c>
      <c r="K9" s="2" t="s">
        <v>161</v>
      </c>
      <c r="L9" s="2" t="s">
        <v>162</v>
      </c>
      <c r="M9" s="14" t="s">
        <v>163</v>
      </c>
      <c r="N9" s="14" t="s">
        <v>164</v>
      </c>
      <c r="O9" s="2" t="s">
        <v>165</v>
      </c>
      <c r="P9" s="2" t="s">
        <v>166</v>
      </c>
      <c r="Q9" s="14" t="s">
        <v>167</v>
      </c>
      <c r="R9" s="14"/>
      <c r="S9" s="2"/>
      <c r="T9" s="2"/>
      <c r="U9" s="14"/>
      <c r="V9" s="14"/>
      <c r="W9" s="2"/>
      <c r="X9" s="2"/>
      <c r="Y9" s="14"/>
      <c r="Z9" s="14"/>
      <c r="AA9" s="2"/>
      <c r="AB9" s="2"/>
      <c r="AC9" s="14"/>
      <c r="AD9" s="14"/>
      <c r="AE9" s="2"/>
      <c r="AF9" s="2"/>
      <c r="AG9" s="14"/>
    </row>
    <row r="10" spans="1:33" ht="19.2" customHeight="1">
      <c r="A10" s="2">
        <v>9</v>
      </c>
      <c r="B10" s="13">
        <v>46263.693796296298</v>
      </c>
      <c r="C10" s="13">
        <v>46263.701261574075</v>
      </c>
      <c r="D10" s="2" t="s">
        <v>362</v>
      </c>
      <c r="E10" s="2"/>
      <c r="F10" s="2" t="s">
        <v>58</v>
      </c>
      <c r="G10" s="2" t="s">
        <v>21</v>
      </c>
      <c r="H10" s="2" t="s">
        <v>22</v>
      </c>
      <c r="I10" s="2" t="s">
        <v>59</v>
      </c>
      <c r="J10" s="14" t="s">
        <v>168</v>
      </c>
      <c r="K10" s="2" t="s">
        <v>169</v>
      </c>
      <c r="L10" s="2" t="s">
        <v>170</v>
      </c>
      <c r="M10" s="14" t="s">
        <v>171</v>
      </c>
      <c r="N10" s="14" t="s">
        <v>172</v>
      </c>
      <c r="O10" s="2" t="s">
        <v>173</v>
      </c>
      <c r="P10" s="2" t="s">
        <v>174</v>
      </c>
      <c r="Q10" s="14" t="s">
        <v>175</v>
      </c>
      <c r="R10" s="14" t="s">
        <v>176</v>
      </c>
      <c r="S10" s="2" t="s">
        <v>177</v>
      </c>
      <c r="T10" s="2" t="s">
        <v>178</v>
      </c>
      <c r="U10" s="14" t="s">
        <v>179</v>
      </c>
      <c r="V10" s="14" t="s">
        <v>180</v>
      </c>
      <c r="W10" s="2" t="s">
        <v>181</v>
      </c>
      <c r="X10" s="2" t="s">
        <v>182</v>
      </c>
      <c r="Y10" s="14" t="s">
        <v>183</v>
      </c>
      <c r="Z10" s="14"/>
      <c r="AA10" s="2"/>
      <c r="AB10" s="2"/>
      <c r="AC10" s="14"/>
      <c r="AD10" s="14"/>
      <c r="AE10" s="2"/>
      <c r="AF10" s="2"/>
      <c r="AG10" s="14"/>
    </row>
    <row r="11" spans="1:33" ht="19.2" customHeight="1">
      <c r="A11" s="2">
        <v>10</v>
      </c>
      <c r="B11" s="13">
        <v>46263.693368055552</v>
      </c>
      <c r="C11" s="13">
        <v>46263.701747685183</v>
      </c>
      <c r="D11" s="2" t="s">
        <v>362</v>
      </c>
      <c r="E11" s="2"/>
      <c r="F11" s="2" t="s">
        <v>63</v>
      </c>
      <c r="G11" s="2" t="s">
        <v>21</v>
      </c>
      <c r="H11" s="2" t="s">
        <v>22</v>
      </c>
      <c r="I11" s="2" t="s">
        <v>64</v>
      </c>
      <c r="J11" s="14" t="s">
        <v>184</v>
      </c>
      <c r="K11" s="2" t="s">
        <v>185</v>
      </c>
      <c r="L11" s="2" t="s">
        <v>186</v>
      </c>
      <c r="M11" s="14" t="s">
        <v>187</v>
      </c>
      <c r="N11" s="14" t="s">
        <v>188</v>
      </c>
      <c r="O11" s="2" t="s">
        <v>189</v>
      </c>
      <c r="P11" s="2" t="s">
        <v>190</v>
      </c>
      <c r="Q11" s="14" t="s">
        <v>191</v>
      </c>
      <c r="R11" s="14" t="s">
        <v>192</v>
      </c>
      <c r="S11" s="2" t="s">
        <v>193</v>
      </c>
      <c r="T11" s="2" t="s">
        <v>194</v>
      </c>
      <c r="U11" s="14" t="s">
        <v>195</v>
      </c>
      <c r="V11" s="14" t="s">
        <v>196</v>
      </c>
      <c r="W11" s="2" t="s">
        <v>197</v>
      </c>
      <c r="X11" s="2" t="s">
        <v>198</v>
      </c>
      <c r="Y11" s="14" t="s">
        <v>199</v>
      </c>
      <c r="Z11" s="14" t="s">
        <v>184</v>
      </c>
      <c r="AA11" s="2" t="s">
        <v>200</v>
      </c>
      <c r="AB11" s="2" t="s">
        <v>201</v>
      </c>
      <c r="AC11" s="14" t="s">
        <v>202</v>
      </c>
      <c r="AD11" s="14" t="s">
        <v>203</v>
      </c>
      <c r="AE11" s="2" t="s">
        <v>204</v>
      </c>
      <c r="AF11" s="2" t="s">
        <v>205</v>
      </c>
      <c r="AG11" s="14" t="s">
        <v>206</v>
      </c>
    </row>
    <row r="12" spans="1:33" ht="19.2" customHeight="1">
      <c r="A12" s="2">
        <v>11</v>
      </c>
      <c r="B12" s="13">
        <v>46263.693854166668</v>
      </c>
      <c r="C12" s="13">
        <v>46263.702199074076</v>
      </c>
      <c r="D12" s="2" t="s">
        <v>362</v>
      </c>
      <c r="E12" s="2"/>
      <c r="F12" s="2" t="s">
        <v>53</v>
      </c>
      <c r="G12" s="2" t="s">
        <v>21</v>
      </c>
      <c r="H12" s="2" t="s">
        <v>22</v>
      </c>
      <c r="I12" s="2" t="s">
        <v>68</v>
      </c>
      <c r="J12" s="14" t="s">
        <v>207</v>
      </c>
      <c r="K12" s="2" t="s">
        <v>208</v>
      </c>
      <c r="L12" s="2" t="s">
        <v>209</v>
      </c>
      <c r="M12" s="14" t="s">
        <v>210</v>
      </c>
      <c r="N12" s="14" t="s">
        <v>211</v>
      </c>
      <c r="O12" s="2" t="s">
        <v>212</v>
      </c>
      <c r="P12" s="2" t="s">
        <v>213</v>
      </c>
      <c r="Q12" s="14" t="s">
        <v>214</v>
      </c>
      <c r="R12" s="14" t="s">
        <v>215</v>
      </c>
      <c r="S12" s="2" t="s">
        <v>216</v>
      </c>
      <c r="T12" s="2" t="s">
        <v>217</v>
      </c>
      <c r="U12" s="14" t="s">
        <v>218</v>
      </c>
      <c r="V12" s="14" t="s">
        <v>219</v>
      </c>
      <c r="W12" s="2" t="s">
        <v>220</v>
      </c>
      <c r="X12" s="2" t="s">
        <v>221</v>
      </c>
      <c r="Y12" s="14" t="s">
        <v>222</v>
      </c>
      <c r="Z12" s="14" t="s">
        <v>223</v>
      </c>
      <c r="AA12" s="2" t="s">
        <v>224</v>
      </c>
      <c r="AB12" s="2" t="s">
        <v>225</v>
      </c>
      <c r="AC12" s="14" t="s">
        <v>226</v>
      </c>
      <c r="AD12" s="14"/>
      <c r="AE12" s="2"/>
      <c r="AF12" s="2"/>
      <c r="AG12" s="14"/>
    </row>
    <row r="13" spans="1:33" ht="19.2" customHeight="1">
      <c r="A13" s="2">
        <v>12</v>
      </c>
      <c r="B13" s="13">
        <v>46263.693645833337</v>
      </c>
      <c r="C13" s="13">
        <v>46263.703425925924</v>
      </c>
      <c r="D13" s="2" t="s">
        <v>362</v>
      </c>
      <c r="E13" s="2"/>
      <c r="F13" s="2" t="s">
        <v>27</v>
      </c>
      <c r="G13" s="2" t="s">
        <v>21</v>
      </c>
      <c r="H13" s="2" t="s">
        <v>22</v>
      </c>
      <c r="I13" s="2" t="s">
        <v>72</v>
      </c>
      <c r="J13" s="14" t="s">
        <v>227</v>
      </c>
      <c r="K13" s="2" t="s">
        <v>228</v>
      </c>
      <c r="L13" s="2" t="s">
        <v>229</v>
      </c>
      <c r="M13" s="14" t="s">
        <v>230</v>
      </c>
      <c r="N13" s="14" t="s">
        <v>231</v>
      </c>
      <c r="O13" s="2" t="s">
        <v>232</v>
      </c>
      <c r="P13" s="2" t="s">
        <v>233</v>
      </c>
      <c r="Q13" s="14" t="s">
        <v>234</v>
      </c>
      <c r="R13" s="14" t="s">
        <v>235</v>
      </c>
      <c r="S13" s="2" t="s">
        <v>236</v>
      </c>
      <c r="T13" s="2" t="s">
        <v>237</v>
      </c>
      <c r="U13" s="14" t="s">
        <v>238</v>
      </c>
      <c r="V13" s="14" t="s">
        <v>239</v>
      </c>
      <c r="W13" s="2" t="s">
        <v>240</v>
      </c>
      <c r="X13" s="2" t="s">
        <v>241</v>
      </c>
      <c r="Y13" s="14" t="s">
        <v>242</v>
      </c>
      <c r="Z13" s="14" t="s">
        <v>243</v>
      </c>
      <c r="AA13" s="2" t="s">
        <v>244</v>
      </c>
      <c r="AB13" s="2" t="s">
        <v>245</v>
      </c>
      <c r="AC13" s="14" t="s">
        <v>246</v>
      </c>
      <c r="AD13" s="14" t="s">
        <v>247</v>
      </c>
      <c r="AE13" s="2" t="s">
        <v>248</v>
      </c>
      <c r="AF13" s="2" t="s">
        <v>249</v>
      </c>
      <c r="AG13" s="14" t="s">
        <v>250</v>
      </c>
    </row>
    <row r="14" spans="1:33" ht="19.2" customHeight="1">
      <c r="A14" s="2">
        <v>13</v>
      </c>
      <c r="B14" s="13">
        <v>46264.935243055559</v>
      </c>
      <c r="C14" s="13">
        <v>46264.9372337963</v>
      </c>
      <c r="D14" s="2" t="s">
        <v>362</v>
      </c>
      <c r="E14" s="2"/>
      <c r="F14" s="2" t="s">
        <v>27</v>
      </c>
      <c r="G14" s="2" t="s">
        <v>21</v>
      </c>
      <c r="H14" s="2" t="s">
        <v>22</v>
      </c>
      <c r="I14" s="2" t="s">
        <v>76</v>
      </c>
      <c r="J14" s="14" t="s">
        <v>251</v>
      </c>
      <c r="K14" s="2" t="s">
        <v>252</v>
      </c>
      <c r="L14" s="2" t="s">
        <v>253</v>
      </c>
      <c r="M14" s="14" t="s">
        <v>254</v>
      </c>
      <c r="N14" s="14" t="s">
        <v>255</v>
      </c>
      <c r="O14" s="2" t="s">
        <v>256</v>
      </c>
      <c r="P14" s="2" t="s">
        <v>257</v>
      </c>
      <c r="Q14" s="14" t="s">
        <v>258</v>
      </c>
      <c r="R14" s="14"/>
      <c r="S14" s="2"/>
      <c r="T14" s="2"/>
      <c r="U14" s="14"/>
      <c r="V14" s="14"/>
      <c r="W14" s="2"/>
      <c r="X14" s="2"/>
      <c r="Y14" s="14"/>
      <c r="Z14" s="14"/>
      <c r="AA14" s="2"/>
      <c r="AB14" s="2"/>
      <c r="AC14" s="14"/>
      <c r="AD14" s="14"/>
      <c r="AE14" s="2"/>
      <c r="AF14" s="2"/>
      <c r="AG14" s="14"/>
    </row>
    <row r="15" spans="1:33" ht="19.2" customHeight="1">
      <c r="A15" s="2">
        <v>14</v>
      </c>
      <c r="B15" s="13">
        <v>46265.671319444446</v>
      </c>
      <c r="C15" s="13">
        <v>46265.673692129632</v>
      </c>
      <c r="D15" s="2" t="s">
        <v>362</v>
      </c>
      <c r="E15" s="2"/>
      <c r="F15" s="2" t="s">
        <v>80</v>
      </c>
      <c r="G15" s="2" t="s">
        <v>21</v>
      </c>
      <c r="H15" s="2" t="s">
        <v>22</v>
      </c>
      <c r="I15" s="2" t="s">
        <v>81</v>
      </c>
      <c r="J15" s="14" t="s">
        <v>83</v>
      </c>
      <c r="K15" s="2" t="s">
        <v>82</v>
      </c>
      <c r="L15" s="2" t="s">
        <v>259</v>
      </c>
      <c r="M15" s="14" t="s">
        <v>260</v>
      </c>
      <c r="N15" s="14"/>
      <c r="O15" s="2"/>
      <c r="P15" s="2"/>
      <c r="Q15" s="14"/>
      <c r="R15" s="14"/>
      <c r="S15" s="2"/>
      <c r="T15" s="2"/>
      <c r="U15" s="14"/>
      <c r="V15" s="14"/>
      <c r="W15" s="2"/>
      <c r="X15" s="2"/>
      <c r="Y15" s="14"/>
      <c r="Z15" s="14"/>
      <c r="AA15" s="2"/>
      <c r="AB15" s="2"/>
      <c r="AC15" s="14"/>
      <c r="AD15" s="14"/>
      <c r="AE15" s="2"/>
      <c r="AF15" s="2"/>
      <c r="AG15" s="14"/>
    </row>
    <row r="16" spans="1:33" ht="19.2" customHeight="1">
      <c r="A16" s="2">
        <v>15</v>
      </c>
      <c r="B16" s="13">
        <v>46265.670868055553</v>
      </c>
      <c r="C16" s="13">
        <v>46265.675081018519</v>
      </c>
      <c r="D16" s="2" t="s">
        <v>362</v>
      </c>
      <c r="E16" s="2"/>
      <c r="F16" s="2" t="s">
        <v>27</v>
      </c>
      <c r="G16" s="2" t="s">
        <v>21</v>
      </c>
      <c r="H16" s="2" t="s">
        <v>22</v>
      </c>
      <c r="I16" s="2" t="s">
        <v>85</v>
      </c>
      <c r="J16" s="14" t="s">
        <v>261</v>
      </c>
      <c r="K16" s="2" t="s">
        <v>262</v>
      </c>
      <c r="L16" s="2" t="s">
        <v>263</v>
      </c>
      <c r="M16" s="14" t="s">
        <v>264</v>
      </c>
      <c r="N16" s="14" t="s">
        <v>265</v>
      </c>
      <c r="O16" s="2" t="s">
        <v>266</v>
      </c>
      <c r="P16" s="2" t="s">
        <v>267</v>
      </c>
      <c r="Q16" s="14" t="s">
        <v>268</v>
      </c>
      <c r="R16" s="14" t="s">
        <v>269</v>
      </c>
      <c r="S16" s="2" t="s">
        <v>270</v>
      </c>
      <c r="T16" s="2" t="s">
        <v>271</v>
      </c>
      <c r="U16" s="14" t="s">
        <v>272</v>
      </c>
      <c r="V16" s="14" t="s">
        <v>273</v>
      </c>
      <c r="W16" s="2" t="s">
        <v>274</v>
      </c>
      <c r="X16" s="2" t="s">
        <v>275</v>
      </c>
      <c r="Y16" s="14" t="s">
        <v>276</v>
      </c>
      <c r="Z16" s="14" t="s">
        <v>277</v>
      </c>
      <c r="AA16" s="2" t="s">
        <v>278</v>
      </c>
      <c r="AB16" s="2" t="s">
        <v>279</v>
      </c>
      <c r="AC16" s="14" t="s">
        <v>280</v>
      </c>
      <c r="AD16" s="14" t="s">
        <v>281</v>
      </c>
      <c r="AE16" s="2" t="s">
        <v>282</v>
      </c>
      <c r="AF16" s="2" t="s">
        <v>283</v>
      </c>
      <c r="AG16" s="14" t="s">
        <v>284</v>
      </c>
    </row>
    <row r="17" spans="1:33" ht="19.2" customHeight="1">
      <c r="A17" s="2">
        <v>16</v>
      </c>
      <c r="B17" s="13"/>
      <c r="C17" s="13"/>
      <c r="D17" s="2"/>
      <c r="E17" s="2"/>
      <c r="F17" s="2"/>
      <c r="G17" s="2"/>
      <c r="H17" s="2"/>
      <c r="I17" s="2" t="s">
        <v>89</v>
      </c>
      <c r="J17" s="14" t="s">
        <v>91</v>
      </c>
      <c r="K17" s="2" t="s">
        <v>90</v>
      </c>
      <c r="L17" s="2" t="s">
        <v>285</v>
      </c>
      <c r="M17" s="14" t="s">
        <v>286</v>
      </c>
      <c r="N17" s="14"/>
      <c r="O17" s="2"/>
      <c r="P17" s="2"/>
      <c r="Q17" s="14"/>
      <c r="R17" s="14"/>
      <c r="S17" s="2"/>
      <c r="T17" s="2"/>
      <c r="U17" s="14"/>
      <c r="V17" s="14"/>
      <c r="W17" s="2"/>
      <c r="X17" s="2"/>
      <c r="Y17" s="14"/>
      <c r="Z17" s="14"/>
      <c r="AA17" s="2"/>
      <c r="AB17" s="2"/>
      <c r="AC17" s="14"/>
      <c r="AD17" s="14"/>
      <c r="AE17" s="2"/>
      <c r="AF17" s="2"/>
      <c r="AG17" s="14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 Groups</vt:lpstr>
      <vt:lpstr>Student Roster</vt:lpstr>
      <vt:lpstr>Evaluation Guide</vt:lpstr>
      <vt:lpstr>Original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Arnab Chakraborty</cp:lastModifiedBy>
  <dcterms:modified xsi:type="dcterms:W3CDTF">2026-09-06T05:56:59Z</dcterms:modified>
</cp:coreProperties>
</file>