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70100b51d44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Groups" sheetId="1" r:id="R01a2ec18ef9f4de7"/>
    <x:sheet xmlns:r="http://schemas.openxmlformats.org/officeDocument/2006/relationships" name="Student Roster" sheetId="2" r:id="R9ab05a1ebec746df"/>
    <x:sheet xmlns:r="http://schemas.openxmlformats.org/officeDocument/2006/relationships" name="Evaluation Guide" sheetId="3" r:id="Re459f46d805a48db"/>
    <x:sheet xmlns:r="http://schemas.openxmlformats.org/officeDocument/2006/relationships" name="Original Data" sheetId="4" r:id="R5b58ea3446264c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@"/>
    <x:numFmt numFmtId="202" formatCode="dd-mmm-yyyy hh:mm"/>
    <x:numFmt numFmtId="203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95959"/>
      <x:name val="Carlito"/>
    </x:font>
    <x:font>
      <x:b/>
      <x:sz val="10"/>
      <x:color rgb="FFFFFFFF"/>
      <x:name val="Carlito"/>
    </x:font>
    <x:font>
      <x:b/>
      <x:sz val="16"/>
      <x:color rgb="FF1F4E78"/>
      <x:name val="Carlito"/>
    </x:font>
    <x:font>
      <x:b/>
      <x:sz val="11"/>
      <x:color rgb="FF1F4E78"/>
      <x:name val="Carlito"/>
    </x:font>
    <x:font>
      <x:b/>
      <x:sz val="17"/>
      <x:color rgb="FFFFFFFF"/>
      <x:name val="Carlito"/>
    </x:font>
    <x:font>
      <x:b/>
      <x:sz val="11"/>
      <x:color rgb="FF595959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D7D31"/>
      </x:patternFill>
    </x:fill>
    <x:fill>
      <x:patternFill patternType="solid">
        <x:fgColor rgb="FF70AD4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1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200" fontId="4" fillId="4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200" fontId="0" fillId="8" borderId="0" xfId="0" applyNumberFormat="1" applyFont="1" applyFill="1" applyBorder="1" applyAlignment="1">
      <x:alignment horizontal="center" vertical="center" wrapText="1"/>
    </x:xf>
    <x:xf numFmtId="200" fontId="5" fillId="9" borderId="0" xfId="0" applyNumberFormat="1" applyFont="1" applyFill="1" applyBorder="1" applyAlignment="1">
      <x:alignment horizontal="center" vertical="center" wrapText="1"/>
    </x:xf>
    <x:xf numFmtId="200" fontId="0" fillId="8" borderId="1" xfId="0" applyNumberFormat="1" applyFont="1" applyFill="1" applyBorder="1" applyAlignment="1">
      <x:alignment horizontal="center" vertical="center" wrapText="1"/>
    </x:xf>
    <x:xf numFmtId="200" fontId="5" fillId="9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horizont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horizontal="center"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horizontal="center" vertical="top" wrapText="1"/>
    </x:xf>
    <x:xf numFmtId="0" fontId="5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horizontal="center" vertical="top" wrapText="1"/>
    </x:xf>
    <x:xf numFmtId="0" fontId="5" fillId="9" borderId="1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horizontal="center" vertical="top" wrapText="1"/>
    </x:xf>
    <x:xf numFmtId="0" fontId="5" fillId="9" borderId="1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horizontal="center"/>
    </x:xf>
    <x:xf numFmtId="0" fontId="8" fillId="5" borderId="1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horizont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horizontal="center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3b68fb115e467f" /><Relationship Type="http://schemas.openxmlformats.org/officeDocument/2006/relationships/theme" Target="/xl/theme/theme1.xml" Id="R1f1b33c298954028" /><Relationship Type="http://schemas.openxmlformats.org/officeDocument/2006/relationships/sharedStrings" Target="/xl/sharedStrings.xml" Id="R1a887ee1d6ae400e" /><Relationship Type="http://schemas.openxmlformats.org/officeDocument/2006/relationships/worksheet" Target="/xl/worksheets/sheet1.xml" Id="R01a2ec18ef9f4de7" /><Relationship Type="http://schemas.openxmlformats.org/officeDocument/2006/relationships/worksheet" Target="/xl/worksheets/sheet2.xml" Id="R9ab05a1ebec746df" /><Relationship Type="http://schemas.openxmlformats.org/officeDocument/2006/relationships/worksheet" Target="/xl/worksheets/sheet3.xml" Id="Re459f46d805a48db" /><Relationship Type="http://schemas.openxmlformats.org/officeDocument/2006/relationships/worksheet" Target="/xl/worksheets/sheet4.xml" Id="R5b58ea3446264c25" /></Relationships>
</file>

<file path=xl/tables/table1.xml><?xml version="1.0" encoding="utf-8"?>
<x:table xmlns:x="http://schemas.openxmlformats.org/spreadsheetml/2006/main" id="1" name="ProjectGroupsTable" displayName="ProjectGroupsTable" ref="A7:M23" headerRowCount="1" totalsRowCount="0" totalsRowShown="0">
  <x:tableColumns count="13">
    <x:tableColumn id="1" name="Group No."/>
    <x:tableColumn id="2" name="Group ID"/>
    <x:tableColumn id="3" name="Department"/>
    <x:tableColumn id="4" name="Semester"/>
    <x:tableColumn id="5" name="Technology"/>
    <x:tableColumn id="6" name="Project Title"/>
    <x:tableColumn id="7" name="Member Count"/>
    <x:tableColumn id="8" name="Student Names"/>
    <x:tableColumn id="9" name="University Roll Numbers"/>
    <x:tableColumn id="10" name="Project Quality &amp; Implementation (40)"/>
    <x:tableColumn id="11" name="Presentation &amp; Demonstration (30)"/>
    <x:tableColumn id="12" name="Viva / Technical Understanding (30)"/>
    <x:tableColumn id="13" name="Total Marks (100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udentRosterTable" displayName="StudentRosterTable" ref="A4:J54" headerRowCount="1" totalsRowCount="0" totalsRowShown="0">
  <x:tableColumns count="10">
    <x:tableColumn id="1" name="Group ID"/>
    <x:tableColumn id="2" name="Group No."/>
    <x:tableColumn id="3" name="Department"/>
    <x:tableColumn id="4" name="Semester"/>
    <x:tableColumn id="5" name="Technology"/>
    <x:tableColumn id="6" name="Project Title"/>
    <x:tableColumn id="7" name="University Roll Number"/>
    <x:tableColumn id="8" name="Student Name"/>
    <x:tableColumn id="9" name="Email ID"/>
    <x:tableColumn id="10" name="Contact Numb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aluationCriteriaTable" displayName="EvaluationCriteriaTable" ref="A4:D8" headerRowCount="1" totalsRowCount="0" totalsRowShown="0">
  <x:tableColumns count="4">
    <x:tableColumn id="1" name="Assessment Criterion"/>
    <x:tableColumn id="2" name="Maximum Marks"/>
    <x:tableColumn id="3" name="What to Evaluate"/>
    <x:tableColumn id="4" name="Suggested Scoring 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rformanceBandsTable" displayName="PerformanceBandsTable" ref="A11:D16" headerRowCount="1" totalsRowCount="0" totalsRowShown="0">
  <x:tableColumns count="4">
    <x:tableColumn id="1" name="Total Marks"/>
    <x:tableColumn id="2" name="Performance Band"/>
    <x:tableColumn id="3" name="General Interpretation"/>
    <x:tableColumn id="4" name="Suggested 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riginalDataTable" displayName="OriginalDataTable" ref="A1:AG17" headerRowCount="1" totalsRowCount="0" totalsRowShown="0">
  <x:tableColumns count="33">
    <x:tableColumn id="1" name="Group Number"/>
    <x:tableColumn id="2" name="Start time"/>
    <x:tableColumn id="3" name="Completion time"/>
    <x:tableColumn id="4" name="Email"/>
    <x:tableColumn id="5" name="Name"/>
    <x:tableColumn id="6" name="Enter Department"/>
    <x:tableColumn id="7" name="Enter Semester number"/>
    <x:tableColumn id="8" name="Enter Technology of your Project"/>
    <x:tableColumn id="9" name="Enter Selected Project Title"/>
    <x:tableColumn id="10" name="Enter University Roll Number"/>
    <x:tableColumn id="11" name="Enter Name"/>
    <x:tableColumn id="12" name="Enter Email ID"/>
    <x:tableColumn id="13" name="Enter Contact Number"/>
    <x:tableColumn id="14" name="Enter University Roll Number2"/>
    <x:tableColumn id="15" name="Enter Name2"/>
    <x:tableColumn id="16" name="Enter Email ID2"/>
    <x:tableColumn id="17" name="Enter Contact Number2"/>
    <x:tableColumn id="18" name="Enter University Roll Number3"/>
    <x:tableColumn id="19" name="Enter Name3"/>
    <x:tableColumn id="20" name="Enter Email ID3"/>
    <x:tableColumn id="21" name="Enter Contact Number3"/>
    <x:tableColumn id="22" name="Enter University Roll Number4"/>
    <x:tableColumn id="23" name="Enter Name4"/>
    <x:tableColumn id="24" name="Enter Email ID4"/>
    <x:tableColumn id="25" name="Enter Contact Number4"/>
    <x:tableColumn id="26" name="Enter University Roll Number5"/>
    <x:tableColumn id="27" name="Enter Name5"/>
    <x:tableColumn id="28" name="Enter Email ID5"/>
    <x:tableColumn id="29" name="Enter Contact Number5"/>
    <x:tableColumn id="30" name="Enter University Roll Number6"/>
    <x:tableColumn id="31" name="Enter Name6"/>
    <x:tableColumn id="32" name="Enter Email ID6"/>
    <x:tableColumn id="33" name="Enter Contact Number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43a9bcf8d549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d2ba87c60d45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bdb96eeb0834619" /><Relationship Type="http://schemas.openxmlformats.org/officeDocument/2006/relationships/table" Target="/xl/tables/table4.xml" Id="Re49756bcf6e74c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f401582cbc544b2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15" hidden="0" customWidth="1"/>
    <x:col min="4" max="4" width="11" hidden="0" customWidth="1"/>
    <x:col min="5" max="5" width="18" hidden="0" customWidth="1"/>
    <x:col min="6" max="6" width="42" hidden="0" customWidth="1"/>
    <x:col min="7" max="7" width="12" hidden="0" customWidth="1"/>
    <x:col min="8" max="8" width="28" hidden="0" customWidth="1"/>
    <x:col min="9" max="9" width="22" hidden="0" customWidth="1"/>
    <x:col min="10" max="10" width="18" hidden="0" customWidth="1"/>
    <x:col min="11" max="11" width="18" hidden="0" customWidth="1"/>
    <x:col min="12" max="12" width="20" hidden="0" customWidth="1"/>
    <x:col min="13" max="13" width="15" hidden="0" customWidth="1"/>
  </x:cols>
  <x:sheetData>
    <x:row r="1" ht="32" customHeight="1">
      <x:c r="A1" s="5" t="str">
        <x:v>PROJECT GROUP FORMATION &amp; EVALUATION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2" customHeight="1">
      <x:c r="A2" s="13" t="str">
        <x:v>Structured group list for project presentation, demonstration, viva and evaluation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20" customHeight="1">
      <x:c r="A4" s="20" t="str">
        <x:v>Total Groups</x:v>
      </x:c>
      <x:c r="B4" s="20"/>
      <x:c r="C4" s="20"/>
      <x:c r="D4" s="35" t="str">
        <x:v>Total Students</x:v>
      </x:c>
      <x:c r="E4" s="35"/>
      <x:c r="F4" s="35"/>
      <x:c r="G4" s="43" t="str">
        <x:v>Groups Evaluated</x:v>
      </x:c>
      <x:c r="H4" s="43"/>
      <x:c r="I4" s="43"/>
      <x:c r="J4" s="51" t="str">
        <x:v>Average Total Marks</x:v>
      </x:c>
      <x:c r="K4" s="51"/>
      <x:c r="L4" s="51"/>
      <x:c r="M4" s="51"/>
    </x:row>
    <x:row r="5" ht="28" customHeight="1">
      <x:c r="A5" s="27" t="n">
        <x:f>COUNTA(A8:A23)</x:f>
        <x:v>16</x:v>
      </x:c>
      <x:c r="B5" s="27"/>
      <x:c r="C5" s="27"/>
      <x:c r="D5" s="27" t="n">
        <x:f>SUM(G8:G23)</x:f>
        <x:v>50</x:v>
      </x:c>
      <x:c r="E5" s="27"/>
      <x:c r="F5" s="27"/>
      <x:c r="G5" s="27" t="n">
        <x:f>COUNT(M8:M23)</x:f>
        <x:v>0</x:v>
      </x:c>
      <x:c r="H5" s="27"/>
      <x:c r="I5" s="27"/>
      <x:c r="J5" s="56" t="str">
        <x:f>IFERROR(AVERAGE(M8:M23),"")</x:f>
      </x:c>
      <x:c r="K5" s="56"/>
      <x:c r="L5" s="56"/>
      <x:c r="M5" s="56"/>
    </x:row>
    <x:row r="7" ht="44" customHeight="1">
      <x:c r="A7" s="60" t="str">
        <x:v>Group No.</x:v>
      </x:c>
      <x:c r="B7" s="60" t="str">
        <x:v>Group ID</x:v>
      </x:c>
      <x:c r="C7" s="60" t="str">
        <x:v>Department</x:v>
      </x:c>
      <x:c r="D7" s="60" t="str">
        <x:v>Semester</x:v>
      </x:c>
      <x:c r="E7" s="60" t="str">
        <x:v>Technology</x:v>
      </x:c>
      <x:c r="F7" s="60" t="str">
        <x:v>Project Title</x:v>
      </x:c>
      <x:c r="G7" s="60" t="str">
        <x:v>Member Count</x:v>
      </x:c>
      <x:c r="H7" s="60" t="str">
        <x:v>Student Names</x:v>
      </x:c>
      <x:c r="I7" s="60" t="str">
        <x:v>University Roll Numbers</x:v>
      </x:c>
      <x:c r="J7" s="60" t="str">
        <x:v>Project Quality &amp; Implementation (40)</x:v>
      </x:c>
      <x:c r="K7" s="60" t="str">
        <x:v>Presentation &amp; Demonstration (30)</x:v>
      </x:c>
      <x:c r="L7" s="60" t="str">
        <x:v>Viva / Technical Understanding (30)</x:v>
      </x:c>
      <x:c r="M7" s="60" t="str">
        <x:v>Total Marks (100)</x:v>
      </x:c>
    </x:row>
    <x:row r="8" ht="48" customHeight="1">
      <x:c r="A8" s="68" t="n">
        <x:v>1</x:v>
      </x:c>
      <x:c r="B8" s="68" t="str">
        <x:v>PG-01</x:v>
      </x:c>
      <x:c r="C8" s="68" t="str">
        <x:v>BSDS</x:v>
      </x:c>
      <x:c r="D8" s="68" t="str">
        <x:v>5th</x:v>
      </x:c>
      <x:c r="E8" s="68" t="str">
        <x:v>ML with Python</x:v>
      </x:c>
      <x:c r="F8" s="68" t="str">
        <x:v>Vendor Invoice Intelligence System</x:v>
      </x:c>
      <x:c r="G8" s="68" t="n">
        <x:v>2</x:v>
      </x:c>
      <x:c r="H8" s="65" t="str">
        <x:v>SAFA MANSOOR
SHRUTI GOSWAMI</x:v>
      </x:c>
      <x:c r="I8" s="142" t="str">
        <x:v>32240524009
32250424003</x:v>
      </x:c>
      <x:c r="J8" s="76"/>
      <x:c r="K8" s="76"/>
      <x:c r="L8" s="76"/>
      <x:c r="M8" s="77" t="str">
        <x:f>IF(COUNT(J8:L8)&lt;3,"",SUM(J8:L8))</x:f>
      </x:c>
    </x:row>
    <x:row r="9" ht="63" customHeight="1">
      <x:c r="A9" s="68" t="n">
        <x:v>2</x:v>
      </x:c>
      <x:c r="B9" s="68" t="str">
        <x:v>PG-02</x:v>
      </x:c>
      <x:c r="C9" s="68" t="str">
        <x:v>BCA</x:v>
      </x:c>
      <x:c r="D9" s="68" t="str">
        <x:v>5th</x:v>
      </x:c>
      <x:c r="E9" s="68" t="str">
        <x:v>ML with Python</x:v>
      </x:c>
      <x:c r="F9" s="68" t="str">
        <x:v>FINANCIAL RISK CALCULATOR</x:v>
      </x:c>
      <x:c r="G9" s="68" t="n">
        <x:v>3</x:v>
      </x:c>
      <x:c r="H9" s="65" t="str">
        <x:v>SOUBHAGYA NARAYAN SEN
SHREYA CHATTARAJ
YASH CHOUDHARY</x:v>
      </x:c>
      <x:c r="I9" s="142" t="str">
        <x:v>108427240079
108427240073
108427240096</x:v>
      </x:c>
      <x:c r="J9" s="76"/>
      <x:c r="K9" s="76"/>
      <x:c r="L9" s="76"/>
      <x:c r="M9" s="77" t="str">
        <x:f>IF(COUNT(J9:L9)&lt;3,"",SUM(J9:L9))</x:f>
      </x:c>
    </x:row>
    <x:row r="10" ht="34" customHeight="1">
      <x:c r="A10" s="68" t="n">
        <x:v>3</x:v>
      </x:c>
      <x:c r="B10" s="68" t="str">
        <x:v>PG-03</x:v>
      </x:c>
      <x:c r="C10" s="68" t="str">
        <x:v>ECE</x:v>
      </x:c>
      <x:c r="D10" s="68" t="str">
        <x:v>5th</x:v>
      </x:c>
      <x:c r="E10" s="68" t="str">
        <x:v>ML with Python</x:v>
      </x:c>
      <x:c r="F10" s="68" t="str">
        <x:v>Fake News Detection using Machine Learning</x:v>
      </x:c>
      <x:c r="G10" s="68" t="n">
        <x:v>1</x:v>
      </x:c>
      <x:c r="H10" s="65" t="str">
        <x:v>Shreya Patra</x:v>
      </x:c>
      <x:c r="I10" s="142" t="str">
        <x:v>108003240046</x:v>
      </x:c>
      <x:c r="J10" s="76"/>
      <x:c r="K10" s="76"/>
      <x:c r="L10" s="76"/>
      <x:c r="M10" s="77" t="str">
        <x:f>IF(COUNT(J10:L10)&lt;3,"",SUM(J10:L10))</x:f>
      </x:c>
    </x:row>
    <x:row r="11" ht="34" customHeight="1">
      <x:c r="A11" s="68" t="n">
        <x:v>4</x:v>
      </x:c>
      <x:c r="B11" s="68" t="str">
        <x:v>PG-04</x:v>
      </x:c>
      <x:c r="C11" s="68" t="str">
        <x:v>BCA</x:v>
      </x:c>
      <x:c r="D11" s="68" t="str">
        <x:v>5th</x:v>
      </x:c>
      <x:c r="E11" s="68" t="str">
        <x:v>ML with Python</x:v>
      </x:c>
      <x:c r="F11" s="68" t="str">
        <x:v>Community Signal AI</x:v>
      </x:c>
      <x:c r="G11" s="68" t="n">
        <x:v>1</x:v>
      </x:c>
      <x:c r="H11" s="65" t="str">
        <x:v>SANTANU DHIBAR</x:v>
      </x:c>
      <x:c r="I11" s="142" t="str">
        <x:v>108427240067</x:v>
      </x:c>
      <x:c r="J11" s="76"/>
      <x:c r="K11" s="76"/>
      <x:c r="L11" s="76"/>
      <x:c r="M11" s="77" t="str">
        <x:f>IF(COUNT(J11:L11)&lt;3,"",SUM(J11:L11))</x:f>
      </x:c>
    </x:row>
    <x:row r="12" ht="93" customHeight="1">
      <x:c r="A12" s="68" t="n">
        <x:v>5</x:v>
      </x:c>
      <x:c r="B12" s="68" t="str">
        <x:v>PG-05</x:v>
      </x:c>
      <x:c r="C12" s="68" t="str">
        <x:v>ECE</x:v>
      </x:c>
      <x:c r="D12" s="68" t="str">
        <x:v>5th</x:v>
      </x:c>
      <x:c r="E12" s="68" t="str">
        <x:v>ML with Python</x:v>
      </x:c>
      <x:c r="F12" s="68" t="str">
        <x:v>Medical Insurance Cost Prediction Using ML</x:v>
      </x:c>
      <x:c r="G12" s="68" t="n">
        <x:v>5</x:v>
      </x:c>
      <x:c r="H12" s="65" t="str">
        <x:v>SIDDHARTHA RAJ
SUBHOJEET PATRA
ABHIRUP DAS
ABHIJEET KUMAR
MD. ASAD AFTAB</x:v>
      </x:c>
      <x:c r="I12" s="142" t="str">
        <x:v>108003240069
108003240052
108003240003
108003240001
108003240030</x:v>
      </x:c>
      <x:c r="J12" s="76"/>
      <x:c r="K12" s="76"/>
      <x:c r="L12" s="76"/>
      <x:c r="M12" s="77" t="str">
        <x:f>IF(COUNT(J12:L12)&lt;3,"",SUM(J12:L12))</x:f>
      </x:c>
    </x:row>
    <x:row r="13" ht="34" customHeight="1">
      <x:c r="A13" s="68" t="n">
        <x:v>6</x:v>
      </x:c>
      <x:c r="B13" s="68" t="str">
        <x:v>PG-06</x:v>
      </x:c>
      <x:c r="C13" s="68" t="str">
        <x:v>BCA</x:v>
      </x:c>
      <x:c r="D13" s="68" t="str">
        <x:v>5th</x:v>
      </x:c>
      <x:c r="E13" s="68" t="str">
        <x:v>ML with Python</x:v>
      </x:c>
      <x:c r="F13" s="68" t="str">
        <x:v>AQUACHECK AI (Water Potability Prediction using Machine Learning)</x:v>
      </x:c>
      <x:c r="G13" s="68" t="n">
        <x:v>1</x:v>
      </x:c>
      <x:c r="H13" s="65" t="str">
        <x:v>Soham De</x:v>
      </x:c>
      <x:c r="I13" s="142" t="str">
        <x:v>108427240077</x:v>
      </x:c>
      <x:c r="J13" s="76"/>
      <x:c r="K13" s="76"/>
      <x:c r="L13" s="76"/>
      <x:c r="M13" s="77" t="str">
        <x:f>IF(COUNT(J13:L13)&lt;3,"",SUM(J13:L13))</x:f>
      </x:c>
    </x:row>
    <x:row r="14" ht="78" customHeight="1">
      <x:c r="A14" s="68" t="n">
        <x:v>7</x:v>
      </x:c>
      <x:c r="B14" s="68" t="str">
        <x:v>PG-07</x:v>
      </x:c>
      <x:c r="C14" s="68" t="str">
        <x:v>BCA</x:v>
      </x:c>
      <x:c r="D14" s="68" t="str">
        <x:v>5th</x:v>
      </x:c>
      <x:c r="E14" s="68" t="str">
        <x:v>ML with Python</x:v>
      </x:c>
      <x:c r="F14" s="68" t="str">
        <x:v>AI powered study planner and performance predicitor</x:v>
      </x:c>
      <x:c r="G14" s="68" t="n">
        <x:v>4</x:v>
      </x:c>
      <x:c r="H14" s="65" t="str">
        <x:v>Subhanki Malik
Ankit kumar Thakur
Pritam Dubey
Souvik Poddar</x:v>
      </x:c>
      <x:c r="I14" s="142" t="str">
        <x:v>108427240084
108427240012
108427240050
108427240081</x:v>
      </x:c>
      <x:c r="J14" s="76"/>
      <x:c r="K14" s="76"/>
      <x:c r="L14" s="76"/>
      <x:c r="M14" s="77" t="str">
        <x:f>IF(COUNT(J14:L14)&lt;3,"",SUM(J14:L14))</x:f>
      </x:c>
    </x:row>
    <x:row r="15" ht="48" customHeight="1">
      <x:c r="A15" s="68" t="n">
        <x:v>8</x:v>
      </x:c>
      <x:c r="B15" s="68" t="str">
        <x:v>PG-08</x:v>
      </x:c>
      <x:c r="C15" s="68" t="str">
        <x:v>CST</x:v>
      </x:c>
      <x:c r="D15" s="68" t="str">
        <x:v>5th</x:v>
      </x:c>
      <x:c r="E15" s="68" t="str">
        <x:v>ML with Python</x:v>
      </x:c>
      <x:c r="F15" s="68" t="str">
        <x:v>Fashion Recommender System</x:v>
      </x:c>
      <x:c r="G15" s="68" t="n">
        <x:v>2</x:v>
      </x:c>
      <x:c r="H15" s="65" t="str">
        <x:v>Khushi Singh
Harsh Raunak Tiwary</x:v>
      </x:c>
      <x:c r="I15" s="142" t="str">
        <x:v>108321240013
108321240012</x:v>
      </x:c>
      <x:c r="J15" s="76"/>
      <x:c r="K15" s="76"/>
      <x:c r="L15" s="76"/>
      <x:c r="M15" s="77" t="str">
        <x:f>IF(COUNT(J15:L15)&lt;3,"",SUM(J15:L15))</x:f>
      </x:c>
    </x:row>
    <x:row r="16" ht="78" customHeight="1">
      <x:c r="A16" s="68" t="n">
        <x:v>9</x:v>
      </x:c>
      <x:c r="B16" s="68" t="str">
        <x:v>PG-09</x:v>
      </x:c>
      <x:c r="C16" s="68" t="str">
        <x:v>CSBS, BCA</x:v>
      </x:c>
      <x:c r="D16" s="68" t="str">
        <x:v>5th</x:v>
      </x:c>
      <x:c r="E16" s="68" t="str">
        <x:v>ML with Python</x:v>
      </x:c>
      <x:c r="F16" s="68" t="str">
        <x:v>Predictive Modelling Of Student Dropout Risk.</x:v>
      </x:c>
      <x:c r="G16" s="68" t="n">
        <x:v>4</x:v>
      </x:c>
      <x:c r="H16" s="65" t="str">
        <x:v>Swastika Banerjee
Kaushikee Karmakar
Kripa Das
Ankita Kundu</x:v>
      </x:c>
      <x:c r="I16" s="142" t="str">
        <x:v>108311240024
108427240030
108311240009
108427240013</x:v>
      </x:c>
      <x:c r="J16" s="76"/>
      <x:c r="K16" s="76"/>
      <x:c r="L16" s="76"/>
      <x:c r="M16" s="77" t="str">
        <x:f>IF(COUNT(J16:L16)&lt;3,"",SUM(J16:L16))</x:f>
      </x:c>
    </x:row>
    <x:row r="17" ht="108" customHeight="1">
      <x:c r="A17" s="68" t="n">
        <x:v>10</x:v>
      </x:c>
      <x:c r="B17" s="68" t="str">
        <x:v>PG-10</x:v>
      </x:c>
      <x:c r="C17" s="68" t="str">
        <x:v>CDBS</x:v>
      </x:c>
      <x:c r="D17" s="68" t="str">
        <x:v>5th</x:v>
      </x:c>
      <x:c r="E17" s="68" t="str">
        <x:v>ML with Python</x:v>
      </x:c>
      <x:c r="F17" s="68" t="str">
        <x:v>Machine Learning Based Stock Market Analysis and Price Movement Prediction System</x:v>
      </x:c>
      <x:c r="G17" s="68" t="n">
        <x:v>6</x:v>
      </x:c>
      <x:c r="H17" s="65" t="str">
        <x:v>Aastha Baranwal
Barsha Shaw
Manish Kumar Sharma
Md. Arbaaz Faridi
Nikhil Kumar Rai
Captain Singh</x:v>
      </x:c>
      <x:c r="I17" s="142" t="str">
        <x:v>108311240001
108311240006
108311240010
108311240012
108311240001
108311240007</x:v>
      </x:c>
      <x:c r="J17" s="76"/>
      <x:c r="K17" s="76"/>
      <x:c r="L17" s="76"/>
      <x:c r="M17" s="77" t="str">
        <x:f>IF(COUNT(J17:L17)&lt;3,"",SUM(J17:L17))</x:f>
      </x:c>
    </x:row>
    <x:row r="18" ht="93" customHeight="1">
      <x:c r="A18" s="68" t="n">
        <x:v>11</x:v>
      </x:c>
      <x:c r="B18" s="68" t="str">
        <x:v>PG-11</x:v>
      </x:c>
      <x:c r="C18" s="68" t="str">
        <x:v>CST</x:v>
      </x:c>
      <x:c r="D18" s="68" t="str">
        <x:v>5th</x:v>
      </x:c>
      <x:c r="E18" s="68" t="str">
        <x:v>ML with Python</x:v>
      </x:c>
      <x:c r="F18" s="68" t="str">
        <x:v>Air Quality Prediction</x:v>
      </x:c>
      <x:c r="G18" s="68" t="n">
        <x:v>5</x:v>
      </x:c>
      <x:c r="H18" s="65" t="str">
        <x:v>Adrija Sadhu
Debanjan Majumder
Aakriti Krishna
Aditi Khan
Rishika Gupta</x:v>
      </x:c>
      <x:c r="I18" s="142" t="str">
        <x:v>108321240004
108321240010
108321240001
108321240003
108321251005</x:v>
      </x:c>
      <x:c r="J18" s="76"/>
      <x:c r="K18" s="76"/>
      <x:c r="L18" s="76"/>
      <x:c r="M18" s="77" t="str">
        <x:f>IF(COUNT(J18:L18)&lt;3,"",SUM(J18:L18))</x:f>
      </x:c>
    </x:row>
    <x:row r="19" ht="108" customHeight="1">
      <x:c r="A19" s="68" t="n">
        <x:v>12</x:v>
      </x:c>
      <x:c r="B19" s="68" t="str">
        <x:v>PG-12</x:v>
      </x:c>
      <x:c r="C19" s="68" t="str">
        <x:v>BCA</x:v>
      </x:c>
      <x:c r="D19" s="68" t="str">
        <x:v>5th</x:v>
      </x:c>
      <x:c r="E19" s="68" t="str">
        <x:v>ML with Python</x:v>
      </x:c>
      <x:c r="F19" s="68" t="str">
        <x:v>Machine Learning Weather Prediction – Forecasting the Future</x:v>
      </x:c>
      <x:c r="G19" s="68" t="n">
        <x:v>6</x:v>
      </x:c>
      <x:c r="H19" s="65" t="str">
        <x:v>ANANYA  DEOGHARIA
TAHSIN FATIMA
Alisha Shaw
Moumita Gorai
Ayushika Shaw
Naman gawri</x:v>
      </x:c>
      <x:c r="I19" s="142" t="str">
        <x:v>108427240011
108427240091
108427240098
108427240041
108427240019
108427240043</x:v>
      </x:c>
      <x:c r="J19" s="76"/>
      <x:c r="K19" s="76"/>
      <x:c r="L19" s="76"/>
      <x:c r="M19" s="77" t="str">
        <x:f>IF(COUNT(J19:L19)&lt;3,"",SUM(J19:L19))</x:f>
      </x:c>
    </x:row>
    <x:row r="20" ht="48" customHeight="1">
      <x:c r="A20" s="68" t="n">
        <x:v>13</x:v>
      </x:c>
      <x:c r="B20" s="68" t="str">
        <x:v>PG-13</x:v>
      </x:c>
      <x:c r="C20" s="68" t="str">
        <x:v>BCA</x:v>
      </x:c>
      <x:c r="D20" s="68" t="str">
        <x:v>5th</x:v>
      </x:c>
      <x:c r="E20" s="68" t="str">
        <x:v>ML with Python</x:v>
      </x:c>
      <x:c r="F20" s="68" t="str">
        <x:v>"HandLex" - Sign Language Translations</x:v>
      </x:c>
      <x:c r="G20" s="68" t="n">
        <x:v>2</x:v>
      </x:c>
      <x:c r="H20" s="65" t="str">
        <x:v>Prachi Shaw
Ritika Mandal</x:v>
      </x:c>
      <x:c r="I20" s="142" t="str">
        <x:v>108427240048
108427240057</x:v>
      </x:c>
      <x:c r="J20" s="76"/>
      <x:c r="K20" s="76"/>
      <x:c r="L20" s="76"/>
      <x:c r="M20" s="77" t="str">
        <x:f>IF(COUNT(J20:L20)&lt;3,"",SUM(J20:L20))</x:f>
      </x:c>
    </x:row>
    <x:row r="21" ht="34" customHeight="1">
      <x:c r="A21" s="68" t="n">
        <x:v>14</x:v>
      </x:c>
      <x:c r="B21" s="68" t="str">
        <x:v>PG-14</x:v>
      </x:c>
      <x:c r="C21" s="68" t="str">
        <x:v>BSC (DS)</x:v>
      </x:c>
      <x:c r="D21" s="68" t="str">
        <x:v>5th</x:v>
      </x:c>
      <x:c r="E21" s="68" t="str">
        <x:v>ML with Python</x:v>
      </x:c>
      <x:c r="F21" s="68" t="str">
        <x:v>Phising website detection using machine learning</x:v>
      </x:c>
      <x:c r="G21" s="68" t="n">
        <x:v>1</x:v>
      </x:c>
      <x:c r="H21" s="65" t="str">
        <x:v>Ankit kumar singh</x:v>
      </x:c>
      <x:c r="I21" s="142" t="str">
        <x:v>32240524029</x:v>
      </x:c>
      <x:c r="J21" s="76"/>
      <x:c r="K21" s="76"/>
      <x:c r="L21" s="76"/>
      <x:c r="M21" s="77" t="str">
        <x:f>IF(COUNT(J21:L21)&lt;3,"",SUM(J21:L21))</x:f>
      </x:c>
    </x:row>
    <x:row r="22" ht="108" customHeight="1">
      <x:c r="A22" s="68" t="n">
        <x:v>15</x:v>
      </x:c>
      <x:c r="B22" s="68" t="str">
        <x:v>PG-15</x:v>
      </x:c>
      <x:c r="C22" s="68" t="str">
        <x:v>BCA</x:v>
      </x:c>
      <x:c r="D22" s="68" t="str">
        <x:v>5th</x:v>
      </x:c>
      <x:c r="E22" s="68" t="str">
        <x:v>ML with Python</x:v>
      </x:c>
      <x:c r="F22" s="68" t="str">
        <x:v>Network Intrusion Detection</x:v>
      </x:c>
      <x:c r="G22" s="68" t="n">
        <x:v>6</x:v>
      </x:c>
      <x:c r="H22" s="65" t="str">
        <x:v>Aditya Sankar Pal
Anwesh Mishra
Deep Gorai
Aman Quraishi
Nayantara Ghosh
Nandini Mondal</x:v>
      </x:c>
      <x:c r="I22" s="142" t="str">
        <x:v>108427240008
108427240016
108424740024
108427240009
108427240045
108427240044</x:v>
      </x:c>
      <x:c r="J22" s="76"/>
      <x:c r="K22" s="76"/>
      <x:c r="L22" s="76"/>
      <x:c r="M22" s="77" t="str">
        <x:f>IF(COUNT(J22:L22)&lt;3,"",SUM(J22:L22))</x:f>
      </x:c>
    </x:row>
    <x:row r="23" ht="34" customHeight="1">
      <x:c r="A23" s="68" t="n">
        <x:v>16</x:v>
      </x:c>
      <x:c r="B23" s="68" t="str">
        <x:v>PG-16</x:v>
      </x:c>
      <x:c r="C23" s="68" t="str"/>
      <x:c r="D23" s="68" t="str"/>
      <x:c r="E23" s="68" t="str"/>
      <x:c r="F23" s="68" t="str">
        <x:v>Predictive Model for Diabetes Detection</x:v>
      </x:c>
      <x:c r="G23" s="68" t="n">
        <x:v>1</x:v>
      </x:c>
      <x:c r="H23" s="65" t="str">
        <x:v>MD SAHIL JAMIR ANSARI</x:v>
      </x:c>
      <x:c r="I23" s="142" t="str">
        <x:v>108427240037</x:v>
      </x:c>
      <x:c r="J23" s="76"/>
      <x:c r="K23" s="76"/>
      <x:c r="L23" s="76"/>
      <x:c r="M23" s="77" t="str">
        <x:f>IF(COUNT(J23:L23)&lt;3,"",SUM(J23:L23))</x:f>
      </x:c>
    </x:row>
  </x:sheetData>
  <x:mergeCells>
    <x:mergeCell ref="A1:M1"/>
    <x:mergeCell ref="A2:M2"/>
    <x:mergeCell ref="A4:C4"/>
    <x:mergeCell ref="A5:C5"/>
    <x:mergeCell ref="D4:F4"/>
    <x:mergeCell ref="D5:F5"/>
    <x:mergeCell ref="G4:I4"/>
    <x:mergeCell ref="G5:I5"/>
    <x:mergeCell ref="J4:M4"/>
    <x:mergeCell ref="J5:M5"/>
  </x:mergeCells>
  <x:conditionalFormatting sqref="M8:M23">
    <x:cfRule type="expression" dxfId="0" priority="1">
      <x:formula>AND(ISNUMBER(M8),M8&lt;50)</x:formula>
    </x:cfRule>
    <x:cfRule type="expression" dxfId="1" priority="2">
      <x:formula>AND(ISNUMBER(M8),M8&gt;=50,M8&lt;70)</x:formula>
    </x:cfRule>
    <x:cfRule type="expression" dxfId="2" priority="3">
      <x:formula>AND(ISNUMBER(M8),M8&gt;=70)</x:formula>
    </x:cfRule>
  </x:conditionalFormatting>
  <x:dataValidations count="3">
    <x:dataValidation type="decimal" errorStyle="stop" operator="between" allowBlank="1" showErrorMessage="1" errorTitle="Invalid Project Marks" error="Enter marks between 0 and 40." sqref="J8:J23">
      <x:formula1>0</x:formula1>
      <x:formula2>40</x:formula2>
    </x:dataValidation>
    <x:dataValidation type="decimal" errorStyle="stop" operator="between" allowBlank="1" showErrorMessage="1" errorTitle="Invalid Presentation Marks" error="Enter marks between 0 and 30." sqref="K8:K23">
      <x:formula1>0</x:formula1>
      <x:formula2>30</x:formula2>
    </x:dataValidation>
    <x:dataValidation type="decimal" errorStyle="stop" operator="between" allowBlank="1" showErrorMessage="1" errorTitle="Invalid Viva Marks" error="Enter marks between 0 and 30." sqref="L8:L23">
      <x:formula1>0</x:formula1>
      <x:formula2>30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943a9bcf8d549b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5" hidden="0" customWidth="1"/>
    <x:col min="4" max="4" width="11" hidden="0" customWidth="1"/>
    <x:col min="5" max="5" width="18" hidden="0" customWidth="1"/>
    <x:col min="6" max="6" width="42" hidden="0" customWidth="1"/>
    <x:col min="7" max="7" width="22" hidden="0" customWidth="1"/>
    <x:col min="8" max="8" width="24" hidden="0" customWidth="1"/>
    <x:col min="9" max="9" width="36" hidden="0" customWidth="1"/>
    <x:col min="10" max="10" width="17" hidden="0" customWidth="1"/>
  </x:cols>
  <x:sheetData>
    <x:row r="1" ht="30" customHeight="1">
      <x:c r="A1" s="82" t="str">
        <x:v>STUDENT ROSTER BY PROJECT GROUP</x:v>
      </x:c>
      <x:c r="B1" s="82"/>
      <x:c r="C1" s="82"/>
      <x:c r="D1" s="82"/>
      <x:c r="E1" s="82"/>
      <x:c r="F1" s="82"/>
      <x:c r="G1" s="82"/>
      <x:c r="H1" s="82"/>
      <x:c r="I1" s="82"/>
      <x:c r="J1" s="82"/>
    </x:row>
    <x:row r="2" ht="21" customHeight="1">
      <x:c r="A2" s="13" t="str">
        <x:v>One student per row • 16 groups • 50 students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5" customHeight="1">
      <x:c r="A4" s="60" t="str">
        <x:v>Group ID</x:v>
      </x:c>
      <x:c r="B4" s="60" t="str">
        <x:v>Group No.</x:v>
      </x:c>
      <x:c r="C4" s="60" t="str">
        <x:v>Department</x:v>
      </x:c>
      <x:c r="D4" s="60" t="str">
        <x:v>Semester</x:v>
      </x:c>
      <x:c r="E4" s="60" t="str">
        <x:v>Technology</x:v>
      </x:c>
      <x:c r="F4" s="60" t="str">
        <x:v>Project Title</x:v>
      </x:c>
      <x:c r="G4" s="60" t="str">
        <x:v>University Roll Number</x:v>
      </x:c>
      <x:c r="H4" s="60" t="str">
        <x:v>Student Name</x:v>
      </x:c>
      <x:c r="I4" s="60" t="str">
        <x:v>Email ID</x:v>
      </x:c>
      <x:c r="J4" s="60" t="str">
        <x:v>Contact Number</x:v>
      </x:c>
    </x:row>
    <x:row r="5" ht="24" customHeight="1">
      <x:c r="A5" s="68" t="str">
        <x:v>PG-01</x:v>
      </x:c>
      <x:c r="B5" s="68" t="n">
        <x:v>1</x:v>
      </x:c>
      <x:c r="C5" s="68" t="str">
        <x:v>BSDS</x:v>
      </x:c>
      <x:c r="D5" s="68" t="str">
        <x:v>5th</x:v>
      </x:c>
      <x:c r="E5" s="68" t="str">
        <x:v>ML with Python</x:v>
      </x:c>
      <x:c r="F5" s="65" t="str">
        <x:v>Vendor Invoice Intelligence System</x:v>
      </x:c>
      <x:c r="G5" s="142" t="str">
        <x:v>32240524009</x:v>
      </x:c>
      <x:c r="H5" s="65" t="str">
        <x:v>SAFA MANSOOR</x:v>
      </x:c>
      <x:c r="I5" s="65" t="str">
        <x:v>safamansoor6492@gmail.com</x:v>
      </x:c>
      <x:c r="J5" s="142" t="str">
        <x:v>8250467289</x:v>
      </x:c>
    </x:row>
    <x:row r="6" ht="24" customHeight="1">
      <x:c r="A6" s="68" t="str">
        <x:v>PG-01</x:v>
      </x:c>
      <x:c r="B6" s="68" t="n">
        <x:v>1</x:v>
      </x:c>
      <x:c r="C6" s="68" t="str">
        <x:v>BSDS</x:v>
      </x:c>
      <x:c r="D6" s="68" t="str">
        <x:v>5th</x:v>
      </x:c>
      <x:c r="E6" s="68" t="str">
        <x:v>ML with Python</x:v>
      </x:c>
      <x:c r="F6" s="65" t="str">
        <x:v>Vendor Invoice Intelligence System</x:v>
      </x:c>
      <x:c r="G6" s="142" t="str">
        <x:v>32250424003</x:v>
      </x:c>
      <x:c r="H6" s="65" t="str">
        <x:v>SHRUTI GOSWAMI</x:v>
      </x:c>
      <x:c r="I6" s="65" t="str">
        <x:v>shruti2004goswami@gmail.com</x:v>
      </x:c>
      <x:c r="J6" s="142" t="str">
        <x:v>7763090210</x:v>
      </x:c>
    </x:row>
    <x:row r="7" ht="24" customHeight="1">
      <x:c r="A7" s="68" t="str">
        <x:v>PG-02</x:v>
      </x:c>
      <x:c r="B7" s="68" t="n">
        <x:v>2</x:v>
      </x:c>
      <x:c r="C7" s="68" t="str">
        <x:v>BCA</x:v>
      </x:c>
      <x:c r="D7" s="68" t="str">
        <x:v>5th</x:v>
      </x:c>
      <x:c r="E7" s="68" t="str">
        <x:v>ML with Python</x:v>
      </x:c>
      <x:c r="F7" s="65" t="str">
        <x:v>FINANCIAL RISK CALCULATOR</x:v>
      </x:c>
      <x:c r="G7" s="142" t="str">
        <x:v>108427240079</x:v>
      </x:c>
      <x:c r="H7" s="65" t="str">
        <x:v>SOUBHAGYA NARAYAN SEN</x:v>
      </x:c>
      <x:c r="I7" s="65" t="str">
        <x:v>soubhagyasen.suri@gmail.com</x:v>
      </x:c>
      <x:c r="J7" s="142" t="str">
        <x:v>6296859209</x:v>
      </x:c>
    </x:row>
    <x:row r="8" ht="24" customHeight="1">
      <x:c r="A8" s="68" t="str">
        <x:v>PG-02</x:v>
      </x:c>
      <x:c r="B8" s="68" t="n">
        <x:v>2</x:v>
      </x:c>
      <x:c r="C8" s="68" t="str">
        <x:v>BCA</x:v>
      </x:c>
      <x:c r="D8" s="68" t="str">
        <x:v>5th</x:v>
      </x:c>
      <x:c r="E8" s="68" t="str">
        <x:v>ML with Python</x:v>
      </x:c>
      <x:c r="F8" s="65" t="str">
        <x:v>FINANCIAL RISK CALCULATOR</x:v>
      </x:c>
      <x:c r="G8" s="142" t="str">
        <x:v>108427240073</x:v>
      </x:c>
      <x:c r="H8" s="65" t="str">
        <x:v>SHREYA CHATTARAJ</x:v>
      </x:c>
      <x:c r="I8" s="65" t="str">
        <x:v>shreyachattaraj3@gmail.com</x:v>
      </x:c>
      <x:c r="J8" s="142" t="str">
        <x:v>8942895690</x:v>
      </x:c>
    </x:row>
    <x:row r="9" ht="24" customHeight="1">
      <x:c r="A9" s="68" t="str">
        <x:v>PG-02</x:v>
      </x:c>
      <x:c r="B9" s="68" t="n">
        <x:v>2</x:v>
      </x:c>
      <x:c r="C9" s="68" t="str">
        <x:v>BCA</x:v>
      </x:c>
      <x:c r="D9" s="68" t="str">
        <x:v>5th</x:v>
      </x:c>
      <x:c r="E9" s="68" t="str">
        <x:v>ML with Python</x:v>
      </x:c>
      <x:c r="F9" s="65" t="str">
        <x:v>FINANCIAL RISK CALCULATOR</x:v>
      </x:c>
      <x:c r="G9" s="142" t="str">
        <x:v>108427240096</x:v>
      </x:c>
      <x:c r="H9" s="65" t="str">
        <x:v>YASH CHOUDHARY</x:v>
      </x:c>
      <x:c r="I9" s="65" t="str">
        <x:v>yashchdh17@gmail.com</x:v>
      </x:c>
      <x:c r="J9" s="142" t="str">
        <x:v>8116777544</x:v>
      </x:c>
    </x:row>
    <x:row r="10" ht="24" customHeight="1">
      <x:c r="A10" s="68" t="str">
        <x:v>PG-03</x:v>
      </x:c>
      <x:c r="B10" s="68" t="n">
        <x:v>3</x:v>
      </x:c>
      <x:c r="C10" s="68" t="str">
        <x:v>ECE</x:v>
      </x:c>
      <x:c r="D10" s="68" t="str">
        <x:v>5th</x:v>
      </x:c>
      <x:c r="E10" s="68" t="str">
        <x:v>ML with Python</x:v>
      </x:c>
      <x:c r="F10" s="65" t="str">
        <x:v>Fake News Detection using Machine Learning</x:v>
      </x:c>
      <x:c r="G10" s="142" t="str">
        <x:v>108003240046</x:v>
      </x:c>
      <x:c r="H10" s="65" t="str">
        <x:v>Shreya Patra</x:v>
      </x:c>
      <x:c r="I10" s="65" t="str">
        <x:v>aec.ece.shreyapatra.2028.046</x:v>
      </x:c>
      <x:c r="J10" s="142" t="str">
        <x:v>9475018629</x:v>
      </x:c>
    </x:row>
    <x:row r="11" ht="24" customHeight="1">
      <x:c r="A11" s="68" t="str">
        <x:v>PG-04</x:v>
      </x:c>
      <x:c r="B11" s="68" t="n">
        <x:v>4</x:v>
      </x:c>
      <x:c r="C11" s="68" t="str">
        <x:v>BCA</x:v>
      </x:c>
      <x:c r="D11" s="68" t="str">
        <x:v>5th</x:v>
      </x:c>
      <x:c r="E11" s="68" t="str">
        <x:v>ML with Python</x:v>
      </x:c>
      <x:c r="F11" s="65" t="str">
        <x:v>Community Signal AI</x:v>
      </x:c>
      <x:c r="G11" s="142" t="str">
        <x:v>108427240067</x:v>
      </x:c>
      <x:c r="H11" s="65" t="str">
        <x:v>SANTANU DHIBAR</x:v>
      </x:c>
      <x:c r="I11" s="65" t="str">
        <x:v>santanudhibar940@gmail.com</x:v>
      </x:c>
      <x:c r="J11" s="142" t="str">
        <x:v>8391088159</x:v>
      </x:c>
    </x:row>
    <x:row r="12" ht="24" customHeight="1">
      <x:c r="A12" s="68" t="str">
        <x:v>PG-05</x:v>
      </x:c>
      <x:c r="B12" s="68" t="n">
        <x:v>5</x:v>
      </x:c>
      <x:c r="C12" s="68" t="str">
        <x:v>ECE</x:v>
      </x:c>
      <x:c r="D12" s="68" t="str">
        <x:v>5th</x:v>
      </x:c>
      <x:c r="E12" s="68" t="str">
        <x:v>ML with Python</x:v>
      </x:c>
      <x:c r="F12" s="65" t="str">
        <x:v>Medical Insurance Cost Prediction Using ML</x:v>
      </x:c>
      <x:c r="G12" s="142" t="str">
        <x:v>108003240069</x:v>
      </x:c>
      <x:c r="H12" s="65" t="str">
        <x:v>SIDDHARTHA RAJ</x:v>
      </x:c>
      <x:c r="I12" s="65" t="str">
        <x:v>aec.ece.siddhartharaj.2028.069@gmail.com</x:v>
      </x:c>
      <x:c r="J12" s="142" t="str">
        <x:v>9304151062</x:v>
      </x:c>
    </x:row>
    <x:row r="13" ht="24" customHeight="1">
      <x:c r="A13" s="68" t="str">
        <x:v>PG-05</x:v>
      </x:c>
      <x:c r="B13" s="68" t="n">
        <x:v>5</x:v>
      </x:c>
      <x:c r="C13" s="68" t="str">
        <x:v>ECE</x:v>
      </x:c>
      <x:c r="D13" s="68" t="str">
        <x:v>5th</x:v>
      </x:c>
      <x:c r="E13" s="68" t="str">
        <x:v>ML with Python</x:v>
      </x:c>
      <x:c r="F13" s="65" t="str">
        <x:v>Medical Insurance Cost Prediction Using ML</x:v>
      </x:c>
      <x:c r="G13" s="142" t="str">
        <x:v>108003240052</x:v>
      </x:c>
      <x:c r="H13" s="65" t="str">
        <x:v>SUBHOJEET PATRA</x:v>
      </x:c>
      <x:c r="I13" s="65" t="str">
        <x:v>subhojeetpatra7@gmail.com</x:v>
      </x:c>
      <x:c r="J13" s="142" t="str">
        <x:v>7872695287</x:v>
      </x:c>
    </x:row>
    <x:row r="14" ht="24" customHeight="1">
      <x:c r="A14" s="68" t="str">
        <x:v>PG-05</x:v>
      </x:c>
      <x:c r="B14" s="68" t="n">
        <x:v>5</x:v>
      </x:c>
      <x:c r="C14" s="68" t="str">
        <x:v>ECE</x:v>
      </x:c>
      <x:c r="D14" s="68" t="str">
        <x:v>5th</x:v>
      </x:c>
      <x:c r="E14" s="68" t="str">
        <x:v>ML with Python</x:v>
      </x:c>
      <x:c r="F14" s="65" t="str">
        <x:v>Medical Insurance Cost Prediction Using ML</x:v>
      </x:c>
      <x:c r="G14" s="142" t="str">
        <x:v>108003240003</x:v>
      </x:c>
      <x:c r="H14" s="65" t="str">
        <x:v>ABHIRUP DAS</x:v>
      </x:c>
      <x:c r="I14" s="65" t="str">
        <x:v>abhirup376@gmail.com</x:v>
      </x:c>
      <x:c r="J14" s="142" t="str">
        <x:v>9339583058</x:v>
      </x:c>
    </x:row>
    <x:row r="15" ht="24" customHeight="1">
      <x:c r="A15" s="68" t="str">
        <x:v>PG-05</x:v>
      </x:c>
      <x:c r="B15" s="68" t="n">
        <x:v>5</x:v>
      </x:c>
      <x:c r="C15" s="68" t="str">
        <x:v>ECE</x:v>
      </x:c>
      <x:c r="D15" s="68" t="str">
        <x:v>5th</x:v>
      </x:c>
      <x:c r="E15" s="68" t="str">
        <x:v>ML with Python</x:v>
      </x:c>
      <x:c r="F15" s="65" t="str">
        <x:v>Medical Insurance Cost Prediction Using ML</x:v>
      </x:c>
      <x:c r="G15" s="142" t="str">
        <x:v>108003240001</x:v>
      </x:c>
      <x:c r="H15" s="65" t="str">
        <x:v>ABHIJEET KUMAR</x:v>
      </x:c>
      <x:c r="I15" s="65" t="str">
        <x:v>abhi8102kr@gmail.com</x:v>
      </x:c>
      <x:c r="J15" s="142" t="str">
        <x:v>8102670618</x:v>
      </x:c>
    </x:row>
    <x:row r="16" ht="24" customHeight="1">
      <x:c r="A16" s="68" t="str">
        <x:v>PG-05</x:v>
      </x:c>
      <x:c r="B16" s="68" t="n">
        <x:v>5</x:v>
      </x:c>
      <x:c r="C16" s="68" t="str">
        <x:v>ECE</x:v>
      </x:c>
      <x:c r="D16" s="68" t="str">
        <x:v>5th</x:v>
      </x:c>
      <x:c r="E16" s="68" t="str">
        <x:v>ML with Python</x:v>
      </x:c>
      <x:c r="F16" s="65" t="str">
        <x:v>Medical Insurance Cost Prediction Using ML</x:v>
      </x:c>
      <x:c r="G16" s="142" t="str">
        <x:v>108003240030</x:v>
      </x:c>
      <x:c r="H16" s="65" t="str">
        <x:v>MD. ASAD AFTAB</x:v>
      </x:c>
      <x:c r="I16" s="65" t="str">
        <x:v>asadaftab1763@gmail.com</x:v>
      </x:c>
      <x:c r="J16" s="142" t="str">
        <x:v>6207929936</x:v>
      </x:c>
    </x:row>
    <x:row r="17" ht="24" customHeight="1">
      <x:c r="A17" s="68" t="str">
        <x:v>PG-06</x:v>
      </x:c>
      <x:c r="B17" s="68" t="n">
        <x:v>6</x:v>
      </x:c>
      <x:c r="C17" s="68" t="str">
        <x:v>BCA</x:v>
      </x:c>
      <x:c r="D17" s="68" t="str">
        <x:v>5th</x:v>
      </x:c>
      <x:c r="E17" s="68" t="str">
        <x:v>ML with Python</x:v>
      </x:c>
      <x:c r="F17" s="65" t="str">
        <x:v>AQUACHECK AI (Water Potability Prediction using Machine Learning)</x:v>
      </x:c>
      <x:c r="G17" s="142" t="str">
        <x:v>108427240077</x:v>
      </x:c>
      <x:c r="H17" s="65" t="str">
        <x:v>Soham De</x:v>
      </x:c>
      <x:c r="I17" s="65" t="str">
        <x:v>sagar963456@gmail.com</x:v>
      </x:c>
      <x:c r="J17" s="142" t="str">
        <x:v>9064545260</x:v>
      </x:c>
    </x:row>
    <x:row r="18" ht="24" customHeight="1">
      <x:c r="A18" s="68" t="str">
        <x:v>PG-07</x:v>
      </x:c>
      <x:c r="B18" s="68" t="n">
        <x:v>7</x:v>
      </x:c>
      <x:c r="C18" s="68" t="str">
        <x:v>BCA</x:v>
      </x:c>
      <x:c r="D18" s="68" t="str">
        <x:v>5th</x:v>
      </x:c>
      <x:c r="E18" s="68" t="str">
        <x:v>ML with Python</x:v>
      </x:c>
      <x:c r="F18" s="65" t="str">
        <x:v>AI powered study planner and performance predicitor</x:v>
      </x:c>
      <x:c r="G18" s="142" t="str">
        <x:v>108427240084</x:v>
      </x:c>
      <x:c r="H18" s="65" t="str">
        <x:v>Subhanki Malik</x:v>
      </x:c>
      <x:c r="I18" s="65" t="str">
        <x:v>maliksubhanki@gmail.com</x:v>
      </x:c>
      <x:c r="J18" s="142" t="str">
        <x:v>8918564881</x:v>
      </x:c>
    </x:row>
    <x:row r="19" ht="24" customHeight="1">
      <x:c r="A19" s="68" t="str">
        <x:v>PG-07</x:v>
      </x:c>
      <x:c r="B19" s="68" t="n">
        <x:v>7</x:v>
      </x:c>
      <x:c r="C19" s="68" t="str">
        <x:v>BCA</x:v>
      </x:c>
      <x:c r="D19" s="68" t="str">
        <x:v>5th</x:v>
      </x:c>
      <x:c r="E19" s="68" t="str">
        <x:v>ML with Python</x:v>
      </x:c>
      <x:c r="F19" s="65" t="str">
        <x:v>AI powered study planner and performance predicitor</x:v>
      </x:c>
      <x:c r="G19" s="142" t="str">
        <x:v>108427240012</x:v>
      </x:c>
      <x:c r="H19" s="65" t="str">
        <x:v>Ankit kumar Thakur</x:v>
      </x:c>
      <x:c r="I19" s="65" t="str">
        <x:v>thakurani0017@gmail.com</x:v>
      </x:c>
      <x:c r="J19" s="142" t="str">
        <x:v>8372819050</x:v>
      </x:c>
    </x:row>
    <x:row r="20" ht="24" customHeight="1">
      <x:c r="A20" s="68" t="str">
        <x:v>PG-07</x:v>
      </x:c>
      <x:c r="B20" s="68" t="n">
        <x:v>7</x:v>
      </x:c>
      <x:c r="C20" s="68" t="str">
        <x:v>BCA</x:v>
      </x:c>
      <x:c r="D20" s="68" t="str">
        <x:v>5th</x:v>
      </x:c>
      <x:c r="E20" s="68" t="str">
        <x:v>ML with Python</x:v>
      </x:c>
      <x:c r="F20" s="65" t="str">
        <x:v>AI powered study planner and performance predicitor</x:v>
      </x:c>
      <x:c r="G20" s="142" t="str">
        <x:v>108427240050</x:v>
      </x:c>
      <x:c r="H20" s="65" t="str">
        <x:v>Pritam Dubey</x:v>
      </x:c>
      <x:c r="I20" s="65" t="str">
        <x:v>pritamdubey440@gmail.com</x:v>
      </x:c>
      <x:c r="J20" s="142" t="str">
        <x:v>9907838892</x:v>
      </x:c>
    </x:row>
    <x:row r="21" ht="24" customHeight="1">
      <x:c r="A21" s="68" t="str">
        <x:v>PG-07</x:v>
      </x:c>
      <x:c r="B21" s="68" t="n">
        <x:v>7</x:v>
      </x:c>
      <x:c r="C21" s="68" t="str">
        <x:v>BCA</x:v>
      </x:c>
      <x:c r="D21" s="68" t="str">
        <x:v>5th</x:v>
      </x:c>
      <x:c r="E21" s="68" t="str">
        <x:v>ML with Python</x:v>
      </x:c>
      <x:c r="F21" s="65" t="str">
        <x:v>AI powered study planner and performance predicitor</x:v>
      </x:c>
      <x:c r="G21" s="142" t="str">
        <x:v>108427240081</x:v>
      </x:c>
      <x:c r="H21" s="65" t="str">
        <x:v>Souvik Poddar</x:v>
      </x:c>
      <x:c r="I21" s="65" t="str">
        <x:v>poddarsouvik03@gmail.com</x:v>
      </x:c>
      <x:c r="J21" s="142" t="str">
        <x:v>9093091618</x:v>
      </x:c>
    </x:row>
    <x:row r="22" ht="24" customHeight="1">
      <x:c r="A22" s="68" t="str">
        <x:v>PG-08</x:v>
      </x:c>
      <x:c r="B22" s="68" t="n">
        <x:v>8</x:v>
      </x:c>
      <x:c r="C22" s="68" t="str">
        <x:v>CST</x:v>
      </x:c>
      <x:c r="D22" s="68" t="str">
        <x:v>5th</x:v>
      </x:c>
      <x:c r="E22" s="68" t="str">
        <x:v>ML with Python</x:v>
      </x:c>
      <x:c r="F22" s="65" t="str">
        <x:v>Fashion Recommender System</x:v>
      </x:c>
      <x:c r="G22" s="142" t="str">
        <x:v>108321240013</x:v>
      </x:c>
      <x:c r="H22" s="65" t="str">
        <x:v>Khushi Singh</x:v>
      </x:c>
      <x:c r="I22" s="65" t="str">
        <x:v>khushisingh94727979@gmail.com</x:v>
      </x:c>
      <x:c r="J22" s="142" t="str">
        <x:v>8271823618</x:v>
      </x:c>
    </x:row>
    <x:row r="23" ht="24" customHeight="1">
      <x:c r="A23" s="68" t="str">
        <x:v>PG-08</x:v>
      </x:c>
      <x:c r="B23" s="68" t="n">
        <x:v>8</x:v>
      </x:c>
      <x:c r="C23" s="68" t="str">
        <x:v>CST</x:v>
      </x:c>
      <x:c r="D23" s="68" t="str">
        <x:v>5th</x:v>
      </x:c>
      <x:c r="E23" s="68" t="str">
        <x:v>ML with Python</x:v>
      </x:c>
      <x:c r="F23" s="65" t="str">
        <x:v>Fashion Recommender System</x:v>
      </x:c>
      <x:c r="G23" s="142" t="str">
        <x:v>108321240012</x:v>
      </x:c>
      <x:c r="H23" s="65" t="str">
        <x:v>Harsh Raunak Tiwary</x:v>
      </x:c>
      <x:c r="I23" s="65" t="str">
        <x:v>harshraunaktiwary@gmail.com</x:v>
      </x:c>
      <x:c r="J23" s="142" t="str">
        <x:v>9229979769</x:v>
      </x:c>
    </x:row>
    <x:row r="24" ht="24" customHeight="1">
      <x:c r="A24" s="68" t="str">
        <x:v>PG-09</x:v>
      </x:c>
      <x:c r="B24" s="68" t="n">
        <x:v>9</x:v>
      </x:c>
      <x:c r="C24" s="68" t="str">
        <x:v>CSBS, BCA</x:v>
      </x:c>
      <x:c r="D24" s="68" t="str">
        <x:v>5th</x:v>
      </x:c>
      <x:c r="E24" s="68" t="str">
        <x:v>ML with Python</x:v>
      </x:c>
      <x:c r="F24" s="65" t="str">
        <x:v>Predictive Modelling Of Student Dropout Risk.</x:v>
      </x:c>
      <x:c r="G24" s="142" t="str">
        <x:v>108311240024</x:v>
      </x:c>
      <x:c r="H24" s="65" t="str">
        <x:v>Swastika Banerjee</x:v>
      </x:c>
      <x:c r="I24" s="65" t="str">
        <x:v>aec.csbs.swastikabanerjee@gmail.com</x:v>
      </x:c>
      <x:c r="J24" s="142" t="str">
        <x:v>7548970513</x:v>
      </x:c>
    </x:row>
    <x:row r="25" ht="24" customHeight="1">
      <x:c r="A25" s="68" t="str">
        <x:v>PG-09</x:v>
      </x:c>
      <x:c r="B25" s="68" t="n">
        <x:v>9</x:v>
      </x:c>
      <x:c r="C25" s="68" t="str">
        <x:v>CSBS, BCA</x:v>
      </x:c>
      <x:c r="D25" s="68" t="str">
        <x:v>5th</x:v>
      </x:c>
      <x:c r="E25" s="68" t="str">
        <x:v>ML with Python</x:v>
      </x:c>
      <x:c r="F25" s="65" t="str">
        <x:v>Predictive Modelling Of Student Dropout Risk.</x:v>
      </x:c>
      <x:c r="G25" s="142" t="str">
        <x:v>108427240030</x:v>
      </x:c>
      <x:c r="H25" s="65" t="str">
        <x:v>Kaushikee Karmakar</x:v>
      </x:c>
      <x:c r="I25" s="65" t="str">
        <x:v>kaushikeekarmakar@gmail.com</x:v>
      </x:c>
      <x:c r="J25" s="142" t="str">
        <x:v>8345848432</x:v>
      </x:c>
    </x:row>
    <x:row r="26" ht="24" customHeight="1">
      <x:c r="A26" s="68" t="str">
        <x:v>PG-09</x:v>
      </x:c>
      <x:c r="B26" s="68" t="n">
        <x:v>9</x:v>
      </x:c>
      <x:c r="C26" s="68" t="str">
        <x:v>CSBS, BCA</x:v>
      </x:c>
      <x:c r="D26" s="68" t="str">
        <x:v>5th</x:v>
      </x:c>
      <x:c r="E26" s="68" t="str">
        <x:v>ML with Python</x:v>
      </x:c>
      <x:c r="F26" s="65" t="str">
        <x:v>Predictive Modelling Of Student Dropout Risk.</x:v>
      </x:c>
      <x:c r="G26" s="142" t="str">
        <x:v>108311240009</x:v>
      </x:c>
      <x:c r="H26" s="65" t="str">
        <x:v>Kripa Das</x:v>
      </x:c>
      <x:c r="I26" s="65" t="str">
        <x:v>daskripa071@gmail.com</x:v>
      </x:c>
      <x:c r="J26" s="142" t="str">
        <x:v>7319546501</x:v>
      </x:c>
    </x:row>
    <x:row r="27" ht="24" customHeight="1">
      <x:c r="A27" s="68" t="str">
        <x:v>PG-09</x:v>
      </x:c>
      <x:c r="B27" s="68" t="n">
        <x:v>9</x:v>
      </x:c>
      <x:c r="C27" s="68" t="str">
        <x:v>CSBS, BCA</x:v>
      </x:c>
      <x:c r="D27" s="68" t="str">
        <x:v>5th</x:v>
      </x:c>
      <x:c r="E27" s="68" t="str">
        <x:v>ML with Python</x:v>
      </x:c>
      <x:c r="F27" s="65" t="str">
        <x:v>Predictive Modelling Of Student Dropout Risk.</x:v>
      </x:c>
      <x:c r="G27" s="142" t="str">
        <x:v>108427240013</x:v>
      </x:c>
      <x:c r="H27" s="65" t="str">
        <x:v>Ankita Kundu</x:v>
      </x:c>
      <x:c r="I27" s="65" t="str">
        <x:v>ankitahere633@gmail.com</x:v>
      </x:c>
      <x:c r="J27" s="142" t="str">
        <x:v>6296916217</x:v>
      </x:c>
    </x:row>
    <x:row r="28" ht="24" customHeight="1">
      <x:c r="A28" s="68" t="str">
        <x:v>PG-10</x:v>
      </x:c>
      <x:c r="B28" s="68" t="n">
        <x:v>10</x:v>
      </x:c>
      <x:c r="C28" s="68" t="str">
        <x:v>CDBS</x:v>
      </x:c>
      <x:c r="D28" s="68" t="str">
        <x:v>5th</x:v>
      </x:c>
      <x:c r="E28" s="68" t="str">
        <x:v>ML with Python</x:v>
      </x:c>
      <x:c r="F28" s="65" t="str">
        <x:v>Machine Learning Based Stock Market Analysis and Price Movement Prediction System</x:v>
      </x:c>
      <x:c r="G28" s="142" t="str">
        <x:v>108311240001</x:v>
      </x:c>
      <x:c r="H28" s="65" t="str">
        <x:v>Aastha Baranwal</x:v>
      </x:c>
      <x:c r="I28" s="65" t="str">
        <x:v>baranwalaastha0@gmail.com</x:v>
      </x:c>
      <x:c r="J28" s="142" t="str">
        <x:v>7001402600</x:v>
      </x:c>
    </x:row>
    <x:row r="29" ht="24" customHeight="1">
      <x:c r="A29" s="68" t="str">
        <x:v>PG-10</x:v>
      </x:c>
      <x:c r="B29" s="68" t="n">
        <x:v>10</x:v>
      </x:c>
      <x:c r="C29" s="68" t="str">
        <x:v>CDBS</x:v>
      </x:c>
      <x:c r="D29" s="68" t="str">
        <x:v>5th</x:v>
      </x:c>
      <x:c r="E29" s="68" t="str">
        <x:v>ML with Python</x:v>
      </x:c>
      <x:c r="F29" s="65" t="str">
        <x:v>Machine Learning Based Stock Market Analysis and Price Movement Prediction System</x:v>
      </x:c>
      <x:c r="G29" s="142" t="str">
        <x:v>108311240006</x:v>
      </x:c>
      <x:c r="H29" s="65" t="str">
        <x:v>Barsha Shaw</x:v>
      </x:c>
      <x:c r="I29" s="65" t="str">
        <x:v>barshashaw160206@gmail.com</x:v>
      </x:c>
      <x:c r="J29" s="142" t="str">
        <x:v>7810849245</x:v>
      </x:c>
    </x:row>
    <x:row r="30" ht="24" customHeight="1">
      <x:c r="A30" s="68" t="str">
        <x:v>PG-10</x:v>
      </x:c>
      <x:c r="B30" s="68" t="n">
        <x:v>10</x:v>
      </x:c>
      <x:c r="C30" s="68" t="str">
        <x:v>CDBS</x:v>
      </x:c>
      <x:c r="D30" s="68" t="str">
        <x:v>5th</x:v>
      </x:c>
      <x:c r="E30" s="68" t="str">
        <x:v>ML with Python</x:v>
      </x:c>
      <x:c r="F30" s="65" t="str">
        <x:v>Machine Learning Based Stock Market Analysis and Price Movement Prediction System</x:v>
      </x:c>
      <x:c r="G30" s="142" t="str">
        <x:v>108311240010</x:v>
      </x:c>
      <x:c r="H30" s="65" t="str">
        <x:v>Manish Kumar Sharma</x:v>
      </x:c>
      <x:c r="I30" s="65" t="str">
        <x:v>tmanishthakur0.1@gmail.com</x:v>
      </x:c>
      <x:c r="J30" s="142" t="str">
        <x:v>6205521815</x:v>
      </x:c>
    </x:row>
    <x:row r="31" ht="24" customHeight="1">
      <x:c r="A31" s="68" t="str">
        <x:v>PG-10</x:v>
      </x:c>
      <x:c r="B31" s="68" t="n">
        <x:v>10</x:v>
      </x:c>
      <x:c r="C31" s="68" t="str">
        <x:v>CDBS</x:v>
      </x:c>
      <x:c r="D31" s="68" t="str">
        <x:v>5th</x:v>
      </x:c>
      <x:c r="E31" s="68" t="str">
        <x:v>ML with Python</x:v>
      </x:c>
      <x:c r="F31" s="65" t="str">
        <x:v>Machine Learning Based Stock Market Analysis and Price Movement Prediction System</x:v>
      </x:c>
      <x:c r="G31" s="142" t="str">
        <x:v>108311240012</x:v>
      </x:c>
      <x:c r="H31" s="65" t="str">
        <x:v>Md. Arbaaz Faridi</x:v>
      </x:c>
      <x:c r="I31" s="65" t="str">
        <x:v>iamakss7860@gmail.com</x:v>
      </x:c>
      <x:c r="J31" s="142" t="str">
        <x:v>6201563389</x:v>
      </x:c>
    </x:row>
    <x:row r="32" ht="24" customHeight="1">
      <x:c r="A32" s="68" t="str">
        <x:v>PG-10</x:v>
      </x:c>
      <x:c r="B32" s="68" t="n">
        <x:v>10</x:v>
      </x:c>
      <x:c r="C32" s="68" t="str">
        <x:v>CDBS</x:v>
      </x:c>
      <x:c r="D32" s="68" t="str">
        <x:v>5th</x:v>
      </x:c>
      <x:c r="E32" s="68" t="str">
        <x:v>ML with Python</x:v>
      </x:c>
      <x:c r="F32" s="65" t="str">
        <x:v>Machine Learning Based Stock Market Analysis and Price Movement Prediction System</x:v>
      </x:c>
      <x:c r="G32" s="142" t="str">
        <x:v>108311240001</x:v>
      </x:c>
      <x:c r="H32" s="65" t="str">
        <x:v>Nikhil Kumar Rai</x:v>
      </x:c>
      <x:c r="I32" s="65" t="str">
        <x:v>nr1207932@gmail.com</x:v>
      </x:c>
      <x:c r="J32" s="142" t="str">
        <x:v>8804540940</x:v>
      </x:c>
    </x:row>
    <x:row r="33" ht="24" customHeight="1">
      <x:c r="A33" s="68" t="str">
        <x:v>PG-10</x:v>
      </x:c>
      <x:c r="B33" s="68" t="n">
        <x:v>10</x:v>
      </x:c>
      <x:c r="C33" s="68" t="str">
        <x:v>CDBS</x:v>
      </x:c>
      <x:c r="D33" s="68" t="str">
        <x:v>5th</x:v>
      </x:c>
      <x:c r="E33" s="68" t="str">
        <x:v>ML with Python</x:v>
      </x:c>
      <x:c r="F33" s="65" t="str">
        <x:v>Machine Learning Based Stock Market Analysis and Price Movement Prediction System</x:v>
      </x:c>
      <x:c r="G33" s="142" t="str">
        <x:v>108311240007</x:v>
      </x:c>
      <x:c r="H33" s="65" t="str">
        <x:v>Captain Singh</x:v>
      </x:c>
      <x:c r="I33" s="65" t="str">
        <x:v>singhcaptain09876@gmail.com</x:v>
      </x:c>
      <x:c r="J33" s="142" t="str">
        <x:v>9641047967</x:v>
      </x:c>
    </x:row>
    <x:row r="34" ht="24" customHeight="1">
      <x:c r="A34" s="68" t="str">
        <x:v>PG-11</x:v>
      </x:c>
      <x:c r="B34" s="68" t="n">
        <x:v>11</x:v>
      </x:c>
      <x:c r="C34" s="68" t="str">
        <x:v>CST</x:v>
      </x:c>
      <x:c r="D34" s="68" t="str">
        <x:v>5th</x:v>
      </x:c>
      <x:c r="E34" s="68" t="str">
        <x:v>ML with Python</x:v>
      </x:c>
      <x:c r="F34" s="65" t="str">
        <x:v>Air Quality Prediction</x:v>
      </x:c>
      <x:c r="G34" s="142" t="str">
        <x:v>108321240004</x:v>
      </x:c>
      <x:c r="H34" s="65" t="str">
        <x:v>Adrija Sadhu</x:v>
      </x:c>
      <x:c r="I34" s="65" t="str">
        <x:v>adrijasadhu17@gmail.com</x:v>
      </x:c>
      <x:c r="J34" s="142" t="str">
        <x:v>9064127892</x:v>
      </x:c>
    </x:row>
    <x:row r="35" ht="24" customHeight="1">
      <x:c r="A35" s="68" t="str">
        <x:v>PG-11</x:v>
      </x:c>
      <x:c r="B35" s="68" t="n">
        <x:v>11</x:v>
      </x:c>
      <x:c r="C35" s="68" t="str">
        <x:v>CST</x:v>
      </x:c>
      <x:c r="D35" s="68" t="str">
        <x:v>5th</x:v>
      </x:c>
      <x:c r="E35" s="68" t="str">
        <x:v>ML with Python</x:v>
      </x:c>
      <x:c r="F35" s="65" t="str">
        <x:v>Air Quality Prediction</x:v>
      </x:c>
      <x:c r="G35" s="142" t="str">
        <x:v>108321240010</x:v>
      </x:c>
      <x:c r="H35" s="65" t="str">
        <x:v>Debanjan Majumder</x:v>
      </x:c>
      <x:c r="I35" s="65" t="str">
        <x:v>debanjanmajumder565@gmail.com</x:v>
      </x:c>
      <x:c r="J35" s="142" t="str">
        <x:v>8617869574</x:v>
      </x:c>
    </x:row>
    <x:row r="36" ht="24" customHeight="1">
      <x:c r="A36" s="68" t="str">
        <x:v>PG-11</x:v>
      </x:c>
      <x:c r="B36" s="68" t="n">
        <x:v>11</x:v>
      </x:c>
      <x:c r="C36" s="68" t="str">
        <x:v>CST</x:v>
      </x:c>
      <x:c r="D36" s="68" t="str">
        <x:v>5th</x:v>
      </x:c>
      <x:c r="E36" s="68" t="str">
        <x:v>ML with Python</x:v>
      </x:c>
      <x:c r="F36" s="65" t="str">
        <x:v>Air Quality Prediction</x:v>
      </x:c>
      <x:c r="G36" s="142" t="str">
        <x:v>108321240001</x:v>
      </x:c>
      <x:c r="H36" s="65" t="str">
        <x:v>Aakriti Krishna</x:v>
      </x:c>
      <x:c r="I36" s="65" t="str">
        <x:v>aec.cst.2024.aakritikrishna@gmail.com</x:v>
      </x:c>
      <x:c r="J36" s="142" t="str">
        <x:v>9905581935</x:v>
      </x:c>
    </x:row>
    <x:row r="37" ht="24" customHeight="1">
      <x:c r="A37" s="68" t="str">
        <x:v>PG-11</x:v>
      </x:c>
      <x:c r="B37" s="68" t="n">
        <x:v>11</x:v>
      </x:c>
      <x:c r="C37" s="68" t="str">
        <x:v>CST</x:v>
      </x:c>
      <x:c r="D37" s="68" t="str">
        <x:v>5th</x:v>
      </x:c>
      <x:c r="E37" s="68" t="str">
        <x:v>ML with Python</x:v>
      </x:c>
      <x:c r="F37" s="65" t="str">
        <x:v>Air Quality Prediction</x:v>
      </x:c>
      <x:c r="G37" s="142" t="str">
        <x:v>108321240003</x:v>
      </x:c>
      <x:c r="H37" s="65" t="str">
        <x:v>Aditi Khan</x:v>
      </x:c>
      <x:c r="I37" s="65" t="str">
        <x:v>aditikhan792@gmail.com</x:v>
      </x:c>
      <x:c r="J37" s="142" t="str">
        <x:v>9798503864</x:v>
      </x:c>
    </x:row>
    <x:row r="38" ht="24" customHeight="1">
      <x:c r="A38" s="68" t="str">
        <x:v>PG-11</x:v>
      </x:c>
      <x:c r="B38" s="68" t="n">
        <x:v>11</x:v>
      </x:c>
      <x:c r="C38" s="68" t="str">
        <x:v>CST</x:v>
      </x:c>
      <x:c r="D38" s="68" t="str">
        <x:v>5th</x:v>
      </x:c>
      <x:c r="E38" s="68" t="str">
        <x:v>ML with Python</x:v>
      </x:c>
      <x:c r="F38" s="65" t="str">
        <x:v>Air Quality Prediction</x:v>
      </x:c>
      <x:c r="G38" s="142" t="str">
        <x:v>108321251005</x:v>
      </x:c>
      <x:c r="H38" s="65" t="str">
        <x:v>Rishika Gupta</x:v>
      </x:c>
      <x:c r="I38" s="65" t="str">
        <x:v>rishika.gupta.3235151@gmail.com</x:v>
      </x:c>
      <x:c r="J38" s="142" t="str">
        <x:v>8167854350</x:v>
      </x:c>
    </x:row>
    <x:row r="39" ht="24" customHeight="1">
      <x:c r="A39" s="68" t="str">
        <x:v>PG-12</x:v>
      </x:c>
      <x:c r="B39" s="68" t="n">
        <x:v>12</x:v>
      </x:c>
      <x:c r="C39" s="68" t="str">
        <x:v>BCA</x:v>
      </x:c>
      <x:c r="D39" s="68" t="str">
        <x:v>5th</x:v>
      </x:c>
      <x:c r="E39" s="68" t="str">
        <x:v>ML with Python</x:v>
      </x:c>
      <x:c r="F39" s="65" t="str">
        <x:v>Machine Learning Weather Prediction – Forecasting the Future</x:v>
      </x:c>
      <x:c r="G39" s="142" t="str">
        <x:v>108427240011</x:v>
      </x:c>
      <x:c r="H39" s="65" t="str">
        <x:v>ANANYA  DEOGHARIA</x:v>
      </x:c>
      <x:c r="I39" s="65" t="str">
        <x:v>ananyadeogharia524@gmail.com</x:v>
      </x:c>
      <x:c r="J39" s="142" t="str">
        <x:v>8158860063</x:v>
      </x:c>
    </x:row>
    <x:row r="40" ht="24" customHeight="1">
      <x:c r="A40" s="68" t="str">
        <x:v>PG-12</x:v>
      </x:c>
      <x:c r="B40" s="68" t="n">
        <x:v>12</x:v>
      </x:c>
      <x:c r="C40" s="68" t="str">
        <x:v>BCA</x:v>
      </x:c>
      <x:c r="D40" s="68" t="str">
        <x:v>5th</x:v>
      </x:c>
      <x:c r="E40" s="68" t="str">
        <x:v>ML with Python</x:v>
      </x:c>
      <x:c r="F40" s="65" t="str">
        <x:v>Machine Learning Weather Prediction – Forecasting the Future</x:v>
      </x:c>
      <x:c r="G40" s="142" t="str">
        <x:v>108427240091</x:v>
      </x:c>
      <x:c r="H40" s="65" t="str">
        <x:v>TAHSIN FATIMA</x:v>
      </x:c>
      <x:c r="I40" s="65" t="str">
        <x:v>tahsinmallick68@gmail.com</x:v>
      </x:c>
      <x:c r="J40" s="142" t="str">
        <x:v>9641019321</x:v>
      </x:c>
    </x:row>
    <x:row r="41" ht="24" customHeight="1">
      <x:c r="A41" s="68" t="str">
        <x:v>PG-12</x:v>
      </x:c>
      <x:c r="B41" s="68" t="n">
        <x:v>12</x:v>
      </x:c>
      <x:c r="C41" s="68" t="str">
        <x:v>BCA</x:v>
      </x:c>
      <x:c r="D41" s="68" t="str">
        <x:v>5th</x:v>
      </x:c>
      <x:c r="E41" s="68" t="str">
        <x:v>ML with Python</x:v>
      </x:c>
      <x:c r="F41" s="65" t="str">
        <x:v>Machine Learning Weather Prediction – Forecasting the Future</x:v>
      </x:c>
      <x:c r="G41" s="142" t="str">
        <x:v>108427240098</x:v>
      </x:c>
      <x:c r="H41" s="65" t="str">
        <x:v>Alisha Shaw</x:v>
      </x:c>
      <x:c r="I41" s="65" t="str">
        <x:v>Shawalisha129@gmail.com</x:v>
      </x:c>
      <x:c r="J41" s="142" t="str">
        <x:v>6297505671</x:v>
      </x:c>
    </x:row>
    <x:row r="42" ht="24" customHeight="1">
      <x:c r="A42" s="68" t="str">
        <x:v>PG-12</x:v>
      </x:c>
      <x:c r="B42" s="68" t="n">
        <x:v>12</x:v>
      </x:c>
      <x:c r="C42" s="68" t="str">
        <x:v>BCA</x:v>
      </x:c>
      <x:c r="D42" s="68" t="str">
        <x:v>5th</x:v>
      </x:c>
      <x:c r="E42" s="68" t="str">
        <x:v>ML with Python</x:v>
      </x:c>
      <x:c r="F42" s="65" t="str">
        <x:v>Machine Learning Weather Prediction – Forecasting the Future</x:v>
      </x:c>
      <x:c r="G42" s="142" t="str">
        <x:v>108427240041</x:v>
      </x:c>
      <x:c r="H42" s="65" t="str">
        <x:v>Moumita Gorai</x:v>
      </x:c>
      <x:c r="I42" s="65" t="str">
        <x:v>moumitagorai14@gmail.com</x:v>
      </x:c>
      <x:c r="J42" s="142" t="str">
        <x:v>9064113188</x:v>
      </x:c>
    </x:row>
    <x:row r="43" ht="24" customHeight="1">
      <x:c r="A43" s="68" t="str">
        <x:v>PG-12</x:v>
      </x:c>
      <x:c r="B43" s="68" t="n">
        <x:v>12</x:v>
      </x:c>
      <x:c r="C43" s="68" t="str">
        <x:v>BCA</x:v>
      </x:c>
      <x:c r="D43" s="68" t="str">
        <x:v>5th</x:v>
      </x:c>
      <x:c r="E43" s="68" t="str">
        <x:v>ML with Python</x:v>
      </x:c>
      <x:c r="F43" s="65" t="str">
        <x:v>Machine Learning Weather Prediction – Forecasting the Future</x:v>
      </x:c>
      <x:c r="G43" s="142" t="str">
        <x:v>108427240019</x:v>
      </x:c>
      <x:c r="H43" s="65" t="str">
        <x:v>Ayushika Shaw</x:v>
      </x:c>
      <x:c r="I43" s="65" t="str">
        <x:v>ayushikashaw14@gmail</x:v>
      </x:c>
      <x:c r="J43" s="142" t="str">
        <x:v>7076972329</x:v>
      </x:c>
    </x:row>
    <x:row r="44" ht="24" customHeight="1">
      <x:c r="A44" s="68" t="str">
        <x:v>PG-12</x:v>
      </x:c>
      <x:c r="B44" s="68" t="n">
        <x:v>12</x:v>
      </x:c>
      <x:c r="C44" s="68" t="str">
        <x:v>BCA</x:v>
      </x:c>
      <x:c r="D44" s="68" t="str">
        <x:v>5th</x:v>
      </x:c>
      <x:c r="E44" s="68" t="str">
        <x:v>ML with Python</x:v>
      </x:c>
      <x:c r="F44" s="65" t="str">
        <x:v>Machine Learning Weather Prediction – Forecasting the Future</x:v>
      </x:c>
      <x:c r="G44" s="142" t="str">
        <x:v>108427240043</x:v>
      </x:c>
      <x:c r="H44" s="65" t="str">
        <x:v>Naman gawri</x:v>
      </x:c>
      <x:c r="I44" s="65" t="str">
        <x:v>gawrinaman1234@gmail.com</x:v>
      </x:c>
      <x:c r="J44" s="142" t="str">
        <x:v>8509849886</x:v>
      </x:c>
    </x:row>
    <x:row r="45" ht="24" customHeight="1">
      <x:c r="A45" s="68" t="str">
        <x:v>PG-13</x:v>
      </x:c>
      <x:c r="B45" s="68" t="n">
        <x:v>13</x:v>
      </x:c>
      <x:c r="C45" s="68" t="str">
        <x:v>BCA</x:v>
      </x:c>
      <x:c r="D45" s="68" t="str">
        <x:v>5th</x:v>
      </x:c>
      <x:c r="E45" s="68" t="str">
        <x:v>ML with Python</x:v>
      </x:c>
      <x:c r="F45" s="65" t="str">
        <x:v>"HandLex" - Sign Language Translations</x:v>
      </x:c>
      <x:c r="G45" s="142" t="str">
        <x:v>108427240048</x:v>
      </x:c>
      <x:c r="H45" s="65" t="str">
        <x:v>Prachi Shaw</x:v>
      </x:c>
      <x:c r="I45" s="65" t="str">
        <x:v>prachishaw.asansol@gmail.com</x:v>
      </x:c>
      <x:c r="J45" s="142" t="str">
        <x:v>9002757086</x:v>
      </x:c>
    </x:row>
    <x:row r="46" ht="24" customHeight="1">
      <x:c r="A46" s="68" t="str">
        <x:v>PG-13</x:v>
      </x:c>
      <x:c r="B46" s="68" t="n">
        <x:v>13</x:v>
      </x:c>
      <x:c r="C46" s="68" t="str">
        <x:v>BCA</x:v>
      </x:c>
      <x:c r="D46" s="68" t="str">
        <x:v>5th</x:v>
      </x:c>
      <x:c r="E46" s="68" t="str">
        <x:v>ML with Python</x:v>
      </x:c>
      <x:c r="F46" s="65" t="str">
        <x:v>"HandLex" - Sign Language Translations</x:v>
      </x:c>
      <x:c r="G46" s="142" t="str">
        <x:v>108427240057</x:v>
      </x:c>
      <x:c r="H46" s="65" t="str">
        <x:v>Ritika Mandal</x:v>
      </x:c>
      <x:c r="I46" s="65" t="str">
        <x:v>ritika.mondal0808@gmail.com</x:v>
      </x:c>
      <x:c r="J46" s="142" t="str">
        <x:v>2617524445</x:v>
      </x:c>
    </x:row>
    <x:row r="47" ht="24" customHeight="1">
      <x:c r="A47" s="68" t="str">
        <x:v>PG-14</x:v>
      </x:c>
      <x:c r="B47" s="68" t="n">
        <x:v>14</x:v>
      </x:c>
      <x:c r="C47" s="68" t="str">
        <x:v>BSC (DS)</x:v>
      </x:c>
      <x:c r="D47" s="68" t="str">
        <x:v>5th</x:v>
      </x:c>
      <x:c r="E47" s="68" t="str">
        <x:v>ML with Python</x:v>
      </x:c>
      <x:c r="F47" s="65" t="str">
        <x:v>Phising website detection using machine learning</x:v>
      </x:c>
      <x:c r="G47" s="142" t="str">
        <x:v>32240524029</x:v>
      </x:c>
      <x:c r="H47" s="65" t="str">
        <x:v>Ankit kumar singh</x:v>
      </x:c>
      <x:c r="I47" s="65" t="str">
        <x:v>as5754242@gmail.com</x:v>
      </x:c>
      <x:c r="J47" s="142" t="str">
        <x:v>9434358535</x:v>
      </x:c>
    </x:row>
    <x:row r="48" ht="24" customHeight="1">
      <x:c r="A48" s="68" t="str">
        <x:v>PG-15</x:v>
      </x:c>
      <x:c r="B48" s="68" t="n">
        <x:v>15</x:v>
      </x:c>
      <x:c r="C48" s="68" t="str">
        <x:v>BCA</x:v>
      </x:c>
      <x:c r="D48" s="68" t="str">
        <x:v>5th</x:v>
      </x:c>
      <x:c r="E48" s="68" t="str">
        <x:v>ML with Python</x:v>
      </x:c>
      <x:c r="F48" s="65" t="str">
        <x:v>Network Intrusion Detection</x:v>
      </x:c>
      <x:c r="G48" s="142" t="str">
        <x:v>108427240008</x:v>
      </x:c>
      <x:c r="H48" s="65" t="str">
        <x:v>Aditya Sankar Pal</x:v>
      </x:c>
      <x:c r="I48" s="65" t="str">
        <x:v>adityaspal2004@gmail.com</x:v>
      </x:c>
      <x:c r="J48" s="142" t="str">
        <x:v>8250981492</x:v>
      </x:c>
    </x:row>
    <x:row r="49" ht="24" customHeight="1">
      <x:c r="A49" s="68" t="str">
        <x:v>PG-15</x:v>
      </x:c>
      <x:c r="B49" s="68" t="n">
        <x:v>15</x:v>
      </x:c>
      <x:c r="C49" s="68" t="str">
        <x:v>BCA</x:v>
      </x:c>
      <x:c r="D49" s="68" t="str">
        <x:v>5th</x:v>
      </x:c>
      <x:c r="E49" s="68" t="str">
        <x:v>ML with Python</x:v>
      </x:c>
      <x:c r="F49" s="65" t="str">
        <x:v>Network Intrusion Detection</x:v>
      </x:c>
      <x:c r="G49" s="142" t="str">
        <x:v>108427240016</x:v>
      </x:c>
      <x:c r="H49" s="65" t="str">
        <x:v>Anwesh Mishra</x:v>
      </x:c>
      <x:c r="I49" s="65" t="str">
        <x:v>anweshmishra731@gmail.com</x:v>
      </x:c>
      <x:c r="J49" s="142" t="str">
        <x:v>8918709847</x:v>
      </x:c>
    </x:row>
    <x:row r="50" ht="24" customHeight="1">
      <x:c r="A50" s="68" t="str">
        <x:v>PG-15</x:v>
      </x:c>
      <x:c r="B50" s="68" t="n">
        <x:v>15</x:v>
      </x:c>
      <x:c r="C50" s="68" t="str">
        <x:v>BCA</x:v>
      </x:c>
      <x:c r="D50" s="68" t="str">
        <x:v>5th</x:v>
      </x:c>
      <x:c r="E50" s="68" t="str">
        <x:v>ML with Python</x:v>
      </x:c>
      <x:c r="F50" s="65" t="str">
        <x:v>Network Intrusion Detection</x:v>
      </x:c>
      <x:c r="G50" s="142" t="str">
        <x:v>108424740024</x:v>
      </x:c>
      <x:c r="H50" s="65" t="str">
        <x:v>Deep Gorai</x:v>
      </x:c>
      <x:c r="I50" s="65" t="str">
        <x:v>deepgorai575@gmail.com</x:v>
      </x:c>
      <x:c r="J50" s="142" t="str">
        <x:v>7865863049</x:v>
      </x:c>
    </x:row>
    <x:row r="51" ht="24" customHeight="1">
      <x:c r="A51" s="68" t="str">
        <x:v>PG-15</x:v>
      </x:c>
      <x:c r="B51" s="68" t="n">
        <x:v>15</x:v>
      </x:c>
      <x:c r="C51" s="68" t="str">
        <x:v>BCA</x:v>
      </x:c>
      <x:c r="D51" s="68" t="str">
        <x:v>5th</x:v>
      </x:c>
      <x:c r="E51" s="68" t="str">
        <x:v>ML with Python</x:v>
      </x:c>
      <x:c r="F51" s="65" t="str">
        <x:v>Network Intrusion Detection</x:v>
      </x:c>
      <x:c r="G51" s="142" t="str">
        <x:v>108427240009</x:v>
      </x:c>
      <x:c r="H51" s="65" t="str">
        <x:v>Aman Quraishi</x:v>
      </x:c>
      <x:c r="I51" s="65" t="str">
        <x:v>amanquraishi4542@gmail.com</x:v>
      </x:c>
      <x:c r="J51" s="142" t="str">
        <x:v>9083210536</x:v>
      </x:c>
    </x:row>
    <x:row r="52" ht="24" customHeight="1">
      <x:c r="A52" s="68" t="str">
        <x:v>PG-15</x:v>
      </x:c>
      <x:c r="B52" s="68" t="n">
        <x:v>15</x:v>
      </x:c>
      <x:c r="C52" s="68" t="str">
        <x:v>BCA</x:v>
      </x:c>
      <x:c r="D52" s="68" t="str">
        <x:v>5th</x:v>
      </x:c>
      <x:c r="E52" s="68" t="str">
        <x:v>ML with Python</x:v>
      </x:c>
      <x:c r="F52" s="65" t="str">
        <x:v>Network Intrusion Detection</x:v>
      </x:c>
      <x:c r="G52" s="142" t="str">
        <x:v>108427240045</x:v>
      </x:c>
      <x:c r="H52" s="65" t="str">
        <x:v>Nayantara Ghosh</x:v>
      </x:c>
      <x:c r="I52" s="65" t="str">
        <x:v>nayantaraghosh06@gmail.com</x:v>
      </x:c>
      <x:c r="J52" s="142" t="str">
        <x:v>7001928311</x:v>
      </x:c>
    </x:row>
    <x:row r="53" ht="24" customHeight="1">
      <x:c r="A53" s="68" t="str">
        <x:v>PG-15</x:v>
      </x:c>
      <x:c r="B53" s="68" t="n">
        <x:v>15</x:v>
      </x:c>
      <x:c r="C53" s="68" t="str">
        <x:v>BCA</x:v>
      </x:c>
      <x:c r="D53" s="68" t="str">
        <x:v>5th</x:v>
      </x:c>
      <x:c r="E53" s="68" t="str">
        <x:v>ML with Python</x:v>
      </x:c>
      <x:c r="F53" s="65" t="str">
        <x:v>Network Intrusion Detection</x:v>
      </x:c>
      <x:c r="G53" s="142" t="str">
        <x:v>108427240044</x:v>
      </x:c>
      <x:c r="H53" s="65" t="str">
        <x:v>Nandini Mondal</x:v>
      </x:c>
      <x:c r="I53" s="65" t="str">
        <x:v>mondalrajnandini008@gmail.com</x:v>
      </x:c>
      <x:c r="J53" s="142" t="str">
        <x:v>9907310344</x:v>
      </x:c>
    </x:row>
    <x:row r="54" ht="24" customHeight="1">
      <x:c r="A54" s="68" t="str">
        <x:v>PG-16</x:v>
      </x:c>
      <x:c r="B54" s="68" t="n">
        <x:v>16</x:v>
      </x:c>
      <x:c r="C54" s="68" t="str"/>
      <x:c r="D54" s="68" t="str"/>
      <x:c r="E54" s="68" t="str"/>
      <x:c r="F54" s="65" t="str">
        <x:v>Predictive Model for Diabetes Detection</x:v>
      </x:c>
      <x:c r="G54" s="142" t="str">
        <x:v>108427240037</x:v>
      </x:c>
      <x:c r="H54" s="65" t="str">
        <x:v>MD SAHIL JAMIR ANSARI</x:v>
      </x:c>
      <x:c r="I54" s="65" t="str">
        <x:v>sahilansari4590@gmail.com</x:v>
      </x:c>
      <x:c r="J54" s="142" t="str">
        <x:v>8092675904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fd2ba87c60d456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52" hidden="0" customWidth="1"/>
    <x:col min="4" max="4" width="44" hidden="0" customWidth="1"/>
  </x:cols>
  <x:sheetData>
    <x:row r="1" ht="30" customHeight="1">
      <x:c r="A1" s="82" t="str">
        <x:v>PROJECT EVALUATION GUIDE</x:v>
      </x:c>
      <x:c r="B1" s="82"/>
      <x:c r="C1" s="82"/>
      <x:c r="D1" s="82"/>
    </x:row>
    <x:row r="2" ht="36" customHeight="1">
      <x:c r="A2" s="92" t="str">
        <x:v>Enter marks only in the yellow cells on the Project Groups sheet. Total marks are calculated automatically after all three criteria are entered.</x:v>
      </x:c>
      <x:c r="B2" s="92"/>
      <x:c r="C2" s="92"/>
      <x:c r="D2" s="92"/>
    </x:row>
    <x:row r="4" ht="34" customHeight="1">
      <x:c r="A4" s="101" t="str">
        <x:v>Assessment Criterion</x:v>
      </x:c>
      <x:c r="B4" s="101" t="str">
        <x:v>Maximum Marks</x:v>
      </x:c>
      <x:c r="C4" s="101" t="str">
        <x:v>What to Evaluate</x:v>
      </x:c>
      <x:c r="D4" s="101" t="str">
        <x:v>Suggested Scoring Reference</x:v>
      </x:c>
    </x:row>
    <x:row r="5" ht="62" customHeight="1">
      <x:c r="A5" s="106" t="str">
        <x:v>Project Quality &amp; Implementation</x:v>
      </x:c>
      <x:c r="B5" s="108" t="n">
        <x:v>40</x:v>
      </x:c>
      <x:c r="C5" s="106" t="str">
        <x:v>Problem relevance, data preparation, methodology, solution or model design, correctness, functionality, completeness and implementation quality.</x:v>
      </x:c>
      <x:c r="D5" s="106" t="str">
        <x:v>Excellent: 34–40 | Good: 28–33 | Satisfactory: 20–27 | Needs improvement: 0–19</x:v>
      </x:c>
    </x:row>
    <x:row r="6" ht="62" customHeight="1">
      <x:c r="A6" s="106" t="str">
        <x:v>Presentation &amp; Demonstration</x:v>
      </x:c>
      <x:c r="B6" s="108" t="n">
        <x:v>30</x:v>
      </x:c>
      <x:c r="C6" s="106" t="str">
        <x:v>Logical structure, clarity, visual quality, time management, balanced participation and successful demonstration of results.</x:v>
      </x:c>
      <x:c r="D6" s="106" t="str">
        <x:v>Excellent: 26–30 | Good: 21–25 | Satisfactory: 15–20 | Needs improvement: 0–14</x:v>
      </x:c>
    </x:row>
    <x:row r="7" ht="62" customHeight="1">
      <x:c r="A7" s="106" t="str">
        <x:v>Viva / Technical Understanding</x:v>
      </x:c>
      <x:c r="B7" s="108" t="n">
        <x:v>30</x:v>
      </x:c>
      <x:c r="C7" s="106" t="str">
        <x:v>Conceptual depth, technical justification, ability to answer questions, individual ownership, limitations and future scope.</x:v>
      </x:c>
      <x:c r="D7" s="106" t="str">
        <x:v>Excellent: 26–30 | Good: 21–25 | Satisfactory: 15–20 | Needs improvement: 0–14</x:v>
      </x:c>
    </x:row>
    <x:row r="8" ht="35" customHeight="1">
      <x:c r="A8" s="114" t="str">
        <x:v>TOTAL</x:v>
      </x:c>
      <x:c r="B8" s="74" t="n">
        <x:v>100</x:v>
      </x:c>
      <x:c r="C8" s="114" t="str">
        <x:v>The total is the sum of all three assessment criteria.</x:v>
      </x:c>
      <x:c r="D8" s="114" t="str">
        <x:v>Calculated automatically in the Project Groups sheet.</x:v>
      </x:c>
    </x:row>
    <x:row r="10" ht="24" customHeight="1">
      <x:c r="A10" s="122" t="str">
        <x:v>OVERALL PERFORMANCE BANDS</x:v>
      </x:c>
      <x:c r="B10" s="122"/>
      <x:c r="C10" s="122"/>
      <x:c r="D10" s="122"/>
    </x:row>
    <x:row r="11" ht="32" customHeight="1">
      <x:c r="A11" s="128" t="str">
        <x:v>Total Marks</x:v>
      </x:c>
      <x:c r="B11" s="128" t="str">
        <x:v>Performance Band</x:v>
      </x:c>
      <x:c r="C11" s="128" t="str">
        <x:v>General Interpretation</x:v>
      </x:c>
      <x:c r="D11" s="128" t="str">
        <x:v>Suggested Action</x:v>
      </x:c>
    </x:row>
    <x:row r="12" ht="48" customHeight="1">
      <x:c r="A12" s="106" t="str">
        <x:v>85–100</x:v>
      </x:c>
      <x:c r="B12" s="106" t="str">
        <x:v>Excellent</x:v>
      </x:c>
      <x:c r="C12" s="106" t="str">
        <x:v>Outstanding project quality and strong technical ownership.</x:v>
      </x:c>
      <x:c r="D12" s="106" t="str">
        <x:v>Recognize as exemplary work.</x:v>
      </x:c>
    </x:row>
    <x:row r="13" ht="48" customHeight="1">
      <x:c r="A13" s="106" t="str">
        <x:v>70–84</x:v>
      </x:c>
      <x:c r="B13" s="106" t="str">
        <x:v>Very Good</x:v>
      </x:c>
      <x:c r="C13" s="106" t="str">
        <x:v>Strong work with only minor gaps.</x:v>
      </x:c>
      <x:c r="D13" s="106" t="str">
        <x:v>Provide targeted refinement feedback.</x:v>
      </x:c>
    </x:row>
    <x:row r="14" ht="48" customHeight="1">
      <x:c r="A14" s="106" t="str">
        <x:v>55–69</x:v>
      </x:c>
      <x:c r="B14" s="106" t="str">
        <x:v>Good / Satisfactory</x:v>
      </x:c>
      <x:c r="C14" s="106" t="str">
        <x:v>Core requirements met with visible improvement areas.</x:v>
      </x:c>
      <x:c r="D14" s="106" t="str">
        <x:v>Recommend specific improvements.</x:v>
      </x:c>
    </x:row>
    <x:row r="15" ht="48" customHeight="1">
      <x:c r="A15" s="106" t="str">
        <x:v>40–54</x:v>
      </x:c>
      <x:c r="B15" s="106" t="str">
        <x:v>Needs Improvement</x:v>
      </x:c>
      <x:c r="C15" s="106" t="str">
        <x:v>Partial understanding or incomplete execution.</x:v>
      </x:c>
      <x:c r="D15" s="106" t="str">
        <x:v>Require corrective improvements.</x:v>
      </x:c>
    </x:row>
    <x:row r="16" ht="48" customHeight="1">
      <x:c r="A16" s="106" t="str">
        <x:v>Below 40</x:v>
      </x:c>
      <x:c r="B16" s="106" t="str">
        <x:v>Unsatisfactory</x:v>
      </x:c>
      <x:c r="C16" s="106" t="str">
        <x:v>Major deficiencies in execution, presentation or understanding.</x:v>
      </x:c>
      <x:c r="D16" s="106" t="str">
        <x:v>Consider re-evaluation after revision.</x:v>
      </x:c>
    </x:row>
  </x:sheetData>
  <x:mergeCells>
    <x:mergeCell ref="A1:D1"/>
    <x:mergeCell ref="A2:D2"/>
    <x:mergeCell ref="A10:D10"/>
  </x:mergeCells>
  <x:pageMargins left="0.7" right="0.7" top="0.75" bottom="0.75" header="0.3" footer="0.3"/>
  <x:tableParts count="2">
    <x:tablePart xmlns:r="http://schemas.openxmlformats.org/officeDocument/2006/relationships" r:id="Rbbdb96eeb0834619"/>
    <x:tablePart xmlns:r="http://schemas.openxmlformats.org/officeDocument/2006/relationships" r:id="Re49756bcf6e74c7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15" hidden="0" customWidth="1"/>
    <x:col min="5" max="5" width="18" hidden="0" customWidth="1"/>
    <x:col min="6" max="6" width="16" hidden="0" customWidth="1"/>
    <x:col min="7" max="7" width="13" hidden="0" customWidth="1"/>
    <x:col min="8" max="8" width="20" hidden="0" customWidth="1"/>
    <x:col min="9" max="9" width="45" hidden="0" customWidth="1"/>
    <x:col min="10" max="10" width="20" hidden="0" customWidth="1"/>
    <x:col min="11" max="11" width="24" hidden="0" customWidth="1"/>
    <x:col min="12" max="12" width="32" hidden="0" customWidth="1"/>
    <x:col min="13" max="13" width="17" hidden="0" customWidth="1"/>
    <x:col min="14" max="14" width="20" hidden="0" customWidth="1"/>
    <x:col min="15" max="15" width="24" hidden="0" customWidth="1"/>
    <x:col min="16" max="16" width="32" hidden="0" customWidth="1"/>
    <x:col min="17" max="17" width="17" hidden="0" customWidth="1"/>
    <x:col min="18" max="18" width="20" hidden="0" customWidth="1"/>
    <x:col min="19" max="19" width="24" hidden="0" customWidth="1"/>
    <x:col min="20" max="20" width="32" hidden="0" customWidth="1"/>
    <x:col min="21" max="21" width="17" hidden="0" customWidth="1"/>
    <x:col min="22" max="22" width="20" hidden="0" customWidth="1"/>
    <x:col min="23" max="23" width="24" hidden="0" customWidth="1"/>
    <x:col min="24" max="24" width="32" hidden="0" customWidth="1"/>
    <x:col min="25" max="25" width="17" hidden="0" customWidth="1"/>
    <x:col min="26" max="26" width="20" hidden="0" customWidth="1"/>
    <x:col min="27" max="27" width="24" hidden="0" customWidth="1"/>
    <x:col min="28" max="28" width="32" hidden="0" customWidth="1"/>
    <x:col min="29" max="29" width="17" hidden="0" customWidth="1"/>
    <x:col min="30" max="30" width="20" hidden="0" customWidth="1"/>
    <x:col min="31" max="31" width="24" hidden="0" customWidth="1"/>
    <x:col min="32" max="32" width="32" hidden="0" customWidth="1"/>
    <x:col min="33" max="33" width="17" hidden="0" customWidth="1"/>
  </x:cols>
  <x:sheetData>
    <x:row r="1" ht="54" customHeight="1">
      <x:c r="A1" s="135" t="str">
        <x:v>Group Number</x:v>
      </x:c>
      <x:c r="B1" s="135" t="str">
        <x:v>Start time</x:v>
      </x:c>
      <x:c r="C1" s="135" t="str">
        <x:v>Completion time</x:v>
      </x:c>
      <x:c r="D1" s="135" t="str">
        <x:v>Email</x:v>
      </x:c>
      <x:c r="E1" s="135" t="str">
        <x:v>Name</x:v>
      </x:c>
      <x:c r="F1" s="135" t="str">
        <x:v>Enter Department</x:v>
      </x:c>
      <x:c r="G1" s="135" t="str">
        <x:v>Enter Semester number</x:v>
      </x:c>
      <x:c r="H1" s="135" t="str">
        <x:v>Enter Technology of your Project</x:v>
      </x:c>
      <x:c r="I1" s="135" t="str">
        <x:v>Enter Selected Project Title</x:v>
      </x:c>
      <x:c r="J1" s="135" t="str">
        <x:v>Enter University Roll Number</x:v>
      </x:c>
      <x:c r="K1" s="135" t="str">
        <x:v>Enter Name</x:v>
      </x:c>
      <x:c r="L1" s="135" t="str">
        <x:v>Enter Email ID</x:v>
      </x:c>
      <x:c r="M1" s="135" t="str">
        <x:v>Enter Contact Number</x:v>
      </x:c>
      <x:c r="N1" s="135" t="str">
        <x:v>Enter University Roll Number2</x:v>
      </x:c>
      <x:c r="O1" s="135" t="str">
        <x:v>Enter Name2</x:v>
      </x:c>
      <x:c r="P1" s="135" t="str">
        <x:v>Enter Email ID2</x:v>
      </x:c>
      <x:c r="Q1" s="135" t="str">
        <x:v>Enter Contact Number2</x:v>
      </x:c>
      <x:c r="R1" s="135" t="str">
        <x:v>Enter University Roll Number3</x:v>
      </x:c>
      <x:c r="S1" s="135" t="str">
        <x:v>Enter Name3</x:v>
      </x:c>
      <x:c r="T1" s="135" t="str">
        <x:v>Enter Email ID3</x:v>
      </x:c>
      <x:c r="U1" s="135" t="str">
        <x:v>Enter Contact Number3</x:v>
      </x:c>
      <x:c r="V1" s="135" t="str">
        <x:v>Enter University Roll Number4</x:v>
      </x:c>
      <x:c r="W1" s="135" t="str">
        <x:v>Enter Name4</x:v>
      </x:c>
      <x:c r="X1" s="135" t="str">
        <x:v>Enter Email ID4</x:v>
      </x:c>
      <x:c r="Y1" s="135" t="str">
        <x:v>Enter Contact Number4</x:v>
      </x:c>
      <x:c r="Z1" s="135" t="str">
        <x:v>Enter University Roll Number5</x:v>
      </x:c>
      <x:c r="AA1" s="135" t="str">
        <x:v>Enter Name5</x:v>
      </x:c>
      <x:c r="AB1" s="135" t="str">
        <x:v>Enter Email ID5</x:v>
      </x:c>
      <x:c r="AC1" s="135" t="str">
        <x:v>Enter Contact Number5</x:v>
      </x:c>
      <x:c r="AD1" s="135" t="str">
        <x:v>Enter University Roll Number6</x:v>
      </x:c>
      <x:c r="AE1" s="135" t="str">
        <x:v>Enter Name6</x:v>
      </x:c>
      <x:c r="AF1" s="135" t="str">
        <x:v>Enter Email ID6</x:v>
      </x:c>
      <x:c r="AG1" s="135" t="str">
        <x:v>Enter Contact Number6</x:v>
      </x:c>
    </x:row>
    <x:row r="2" ht="24" customHeight="1">
      <x:c r="A2" s="65" t="n">
        <x:v>1</x:v>
      </x:c>
      <x:c r="B2" s="140" t="n">
        <x:v>46263.69337962963</x:v>
      </x:c>
      <x:c r="C2" s="140" t="n">
        <x:v>46263.69662037037</x:v>
      </x:c>
      <x:c r="D2" s="65" t="str">
        <x:v>anonymous</x:v>
      </x:c>
      <x:c r="E2" s="65"/>
      <x:c r="F2" s="65" t="str">
        <x:v>BSDS</x:v>
      </x:c>
      <x:c r="G2" s="65" t="str">
        <x:v>5th</x:v>
      </x:c>
      <x:c r="H2" s="65" t="str">
        <x:v>ML with Python</x:v>
      </x:c>
      <x:c r="I2" s="65" t="str">
        <x:v>Vendor Invoice Intelligence System</x:v>
      </x:c>
      <x:c r="J2" s="142" t="str">
        <x:v>32240524009</x:v>
      </x:c>
      <x:c r="K2" s="65" t="str">
        <x:v>SAFA MANSOOR</x:v>
      </x:c>
      <x:c r="L2" s="65" t="str">
        <x:v>safamansoor6492@gmail.com</x:v>
      </x:c>
      <x:c r="M2" s="142" t="str">
        <x:v>8250467289</x:v>
      </x:c>
      <x:c r="N2" s="142" t="str">
        <x:v>32250424003</x:v>
      </x:c>
      <x:c r="O2" s="65" t="str">
        <x:v>SHRUTI GOSWAMI</x:v>
      </x:c>
      <x:c r="P2" s="65" t="str">
        <x:v>shruti2004goswami@gmail.com</x:v>
      </x:c>
      <x:c r="Q2" s="142" t="str">
        <x:v>7763090210</x:v>
      </x:c>
      <x:c r="R2" s="142"/>
      <x:c r="S2" s="65"/>
      <x:c r="T2" s="65"/>
      <x:c r="U2" s="142"/>
      <x:c r="V2" s="142"/>
      <x:c r="W2" s="65"/>
      <x:c r="X2" s="65"/>
      <x:c r="Y2" s="142"/>
      <x:c r="Z2" s="142"/>
      <x:c r="AA2" s="65"/>
      <x:c r="AB2" s="65"/>
      <x:c r="AC2" s="142"/>
      <x:c r="AD2" s="142"/>
      <x:c r="AE2" s="65"/>
      <x:c r="AF2" s="65"/>
      <x:c r="AG2" s="142"/>
    </x:row>
    <x:row r="3" ht="24" customHeight="1">
      <x:c r="A3" s="65" t="n">
        <x:v>2</x:v>
      </x:c>
      <x:c r="B3" s="140" t="n">
        <x:v>46263.69366898148</x:v>
      </x:c>
      <x:c r="C3" s="140" t="n">
        <x:v>46263.69773148148</x:v>
      </x:c>
      <x:c r="D3" s="65" t="str">
        <x:v>anonymous</x:v>
      </x:c>
      <x:c r="E3" s="65"/>
      <x:c r="F3" s="65" t="str">
        <x:v>BCA</x:v>
      </x:c>
      <x:c r="G3" s="65" t="str">
        <x:v>5th</x:v>
      </x:c>
      <x:c r="H3" s="65" t="str">
        <x:v>ML with Python</x:v>
      </x:c>
      <x:c r="I3" s="65" t="str">
        <x:v>FINANCIAL RISK CALCULATOR</x:v>
      </x:c>
      <x:c r="J3" s="142" t="str">
        <x:v>108427240079</x:v>
      </x:c>
      <x:c r="K3" s="65" t="str">
        <x:v>SOUBHAGYA NARAYAN SEN</x:v>
      </x:c>
      <x:c r="L3" s="65" t="str">
        <x:v>soubhagyasen.suri@gmail.com</x:v>
      </x:c>
      <x:c r="M3" s="142" t="str">
        <x:v>6296859209</x:v>
      </x:c>
      <x:c r="N3" s="142" t="str">
        <x:v>108427240073</x:v>
      </x:c>
      <x:c r="O3" s="65" t="str">
        <x:v>SHREYA CHATTARAJ</x:v>
      </x:c>
      <x:c r="P3" s="65" t="str">
        <x:v>shreyachattaraj3@gmail.com</x:v>
      </x:c>
      <x:c r="Q3" s="142" t="str">
        <x:v>8942895690</x:v>
      </x:c>
      <x:c r="R3" s="142" t="str">
        <x:v>108427240096</x:v>
      </x:c>
      <x:c r="S3" s="65" t="str">
        <x:v>YASH CHOUDHARY</x:v>
      </x:c>
      <x:c r="T3" s="65" t="str">
        <x:v>yashchdh17@gmail.com</x:v>
      </x:c>
      <x:c r="U3" s="142" t="str">
        <x:v>8116777544</x:v>
      </x:c>
      <x:c r="V3" s="142"/>
      <x:c r="W3" s="65"/>
      <x:c r="X3" s="65"/>
      <x:c r="Y3" s="142"/>
      <x:c r="Z3" s="142"/>
      <x:c r="AA3" s="65"/>
      <x:c r="AB3" s="65"/>
      <x:c r="AC3" s="142"/>
      <x:c r="AD3" s="142"/>
      <x:c r="AE3" s="65"/>
      <x:c r="AF3" s="65"/>
      <x:c r="AG3" s="142"/>
    </x:row>
    <x:row r="4" ht="24" customHeight="1">
      <x:c r="A4" s="65" t="n">
        <x:v>3</x:v>
      </x:c>
      <x:c r="B4" s="140" t="n">
        <x:v>46263.69341435185</x:v>
      </x:c>
      <x:c r="C4" s="140" t="n">
        <x:v>46263.697962962964</x:v>
      </x:c>
      <x:c r="D4" s="65" t="str">
        <x:v>anonymous</x:v>
      </x:c>
      <x:c r="E4" s="65"/>
      <x:c r="F4" s="65" t="str">
        <x:v>ECE</x:v>
      </x:c>
      <x:c r="G4" s="65" t="str">
        <x:v>5th</x:v>
      </x:c>
      <x:c r="H4" s="65" t="str">
        <x:v>ML with Python</x:v>
      </x:c>
      <x:c r="I4" s="65" t="str">
        <x:v>Fake News Detection using Machine Learning</x:v>
      </x:c>
      <x:c r="J4" s="142" t="str">
        <x:v>108003240046</x:v>
      </x:c>
      <x:c r="K4" s="65" t="str">
        <x:v>Shreya Patra</x:v>
      </x:c>
      <x:c r="L4" s="65" t="str">
        <x:v>aec.ece.shreyapatra.2028.046</x:v>
      </x:c>
      <x:c r="M4" s="142" t="str">
        <x:v>9475018629</x:v>
      </x:c>
      <x:c r="N4" s="142"/>
      <x:c r="O4" s="65"/>
      <x:c r="P4" s="65"/>
      <x:c r="Q4" s="142"/>
      <x:c r="R4" s="142"/>
      <x:c r="S4" s="65"/>
      <x:c r="T4" s="65"/>
      <x:c r="U4" s="142"/>
      <x:c r="V4" s="142"/>
      <x:c r="W4" s="65"/>
      <x:c r="X4" s="65"/>
      <x:c r="Y4" s="142"/>
      <x:c r="Z4" s="142"/>
      <x:c r="AA4" s="65"/>
      <x:c r="AB4" s="65"/>
      <x:c r="AC4" s="142"/>
      <x:c r="AD4" s="142"/>
      <x:c r="AE4" s="65"/>
      <x:c r="AF4" s="65"/>
      <x:c r="AG4" s="142"/>
    </x:row>
    <x:row r="5" ht="24" customHeight="1">
      <x:c r="A5" s="65" t="n">
        <x:v>4</x:v>
      </x:c>
      <x:c r="B5" s="140" t="n">
        <x:v>46263.69758101852</x:v>
      </x:c>
      <x:c r="C5" s="140" t="n">
        <x:v>46263.69831018519</x:v>
      </x:c>
      <x:c r="D5" s="65" t="str">
        <x:v>anonymous</x:v>
      </x:c>
      <x:c r="E5" s="65"/>
      <x:c r="F5" s="65" t="str">
        <x:v>BCA</x:v>
      </x:c>
      <x:c r="G5" s="65" t="str">
        <x:v>5th</x:v>
      </x:c>
      <x:c r="H5" s="65" t="str">
        <x:v>ML with Python</x:v>
      </x:c>
      <x:c r="I5" s="65" t="str">
        <x:v>Community Signal AI</x:v>
      </x:c>
      <x:c r="J5" s="142" t="str">
        <x:v>108427240067</x:v>
      </x:c>
      <x:c r="K5" s="65" t="str">
        <x:v>SANTANU DHIBAR</x:v>
      </x:c>
      <x:c r="L5" s="65" t="str">
        <x:v>santanudhibar940@gmail.com</x:v>
      </x:c>
      <x:c r="M5" s="142" t="str">
        <x:v>8391088159</x:v>
      </x:c>
      <x:c r="N5" s="142"/>
      <x:c r="O5" s="65"/>
      <x:c r="P5" s="65"/>
      <x:c r="Q5" s="142"/>
      <x:c r="R5" s="142"/>
      <x:c r="S5" s="65"/>
      <x:c r="T5" s="65"/>
      <x:c r="U5" s="142"/>
      <x:c r="V5" s="142"/>
      <x:c r="W5" s="65"/>
      <x:c r="X5" s="65"/>
      <x:c r="Y5" s="142"/>
      <x:c r="Z5" s="142"/>
      <x:c r="AA5" s="65"/>
      <x:c r="AB5" s="65"/>
      <x:c r="AC5" s="142"/>
      <x:c r="AD5" s="142"/>
      <x:c r="AE5" s="65"/>
      <x:c r="AF5" s="65"/>
      <x:c r="AG5" s="142"/>
    </x:row>
    <x:row r="6" ht="24" customHeight="1">
      <x:c r="A6" s="65" t="n">
        <x:v>5</x:v>
      </x:c>
      <x:c r="B6" s="140" t="n">
        <x:v>46263.69364583334</x:v>
      </x:c>
      <x:c r="C6" s="140" t="n">
        <x:v>46263.69863425926</x:v>
      </x:c>
      <x:c r="D6" s="65" t="str">
        <x:v>anonymous</x:v>
      </x:c>
      <x:c r="E6" s="65"/>
      <x:c r="F6" s="65" t="str">
        <x:v>ECE</x:v>
      </x:c>
      <x:c r="G6" s="65" t="str">
        <x:v>5th</x:v>
      </x:c>
      <x:c r="H6" s="65" t="str">
        <x:v>ML with Python</x:v>
      </x:c>
      <x:c r="I6" s="65" t="str">
        <x:v>Medical Insurance Cost Prediction Using ML</x:v>
      </x:c>
      <x:c r="J6" s="142" t="str">
        <x:v>108003240069</x:v>
      </x:c>
      <x:c r="K6" s="65" t="str">
        <x:v>SIDDHARTHA RAJ</x:v>
      </x:c>
      <x:c r="L6" s="65" t="str">
        <x:v>aec.ece.siddhartharaj.2028.069@gmail.com</x:v>
      </x:c>
      <x:c r="M6" s="142" t="str">
        <x:v>9304151062</x:v>
      </x:c>
      <x:c r="N6" s="142" t="str">
        <x:v>108003240052</x:v>
      </x:c>
      <x:c r="O6" s="65" t="str">
        <x:v>SUBHOJEET PATRA</x:v>
      </x:c>
      <x:c r="P6" s="65" t="str">
        <x:v>subhojeetpatra7@gmail.com</x:v>
      </x:c>
      <x:c r="Q6" s="142" t="str">
        <x:v>7872695287</x:v>
      </x:c>
      <x:c r="R6" s="142" t="str">
        <x:v>108003240003</x:v>
      </x:c>
      <x:c r="S6" s="65" t="str">
        <x:v>ABHIRUP DAS</x:v>
      </x:c>
      <x:c r="T6" s="65" t="str">
        <x:v>abhirup376@gmail.com</x:v>
      </x:c>
      <x:c r="U6" s="142" t="str">
        <x:v>9339583058</x:v>
      </x:c>
      <x:c r="V6" s="142" t="str">
        <x:v>108003240001</x:v>
      </x:c>
      <x:c r="W6" s="65" t="str">
        <x:v>ABHIJEET KUMAR</x:v>
      </x:c>
      <x:c r="X6" s="65" t="str">
        <x:v>abhi8102kr@gmail.com</x:v>
      </x:c>
      <x:c r="Y6" s="142" t="str">
        <x:v>8102670618</x:v>
      </x:c>
      <x:c r="Z6" s="142" t="str">
        <x:v>108003240030</x:v>
      </x:c>
      <x:c r="AA6" s="65" t="str">
        <x:v>MD. ASAD AFTAB </x:v>
      </x:c>
      <x:c r="AB6" s="65" t="str">
        <x:v>asadaftab1763@gmail.com</x:v>
      </x:c>
      <x:c r="AC6" s="142" t="str">
        <x:v>6207929936</x:v>
      </x:c>
      <x:c r="AD6" s="142"/>
      <x:c r="AE6" s="65"/>
      <x:c r="AF6" s="65"/>
      <x:c r="AG6" s="142"/>
    </x:row>
    <x:row r="7" ht="24" customHeight="1">
      <x:c r="A7" s="65" t="n">
        <x:v>6</x:v>
      </x:c>
      <x:c r="B7" s="140" t="n">
        <x:v>46263.69422453704</x:v>
      </x:c>
      <x:c r="C7" s="140" t="n">
        <x:v>46263.69914351852</x:v>
      </x:c>
      <x:c r="D7" s="65" t="str">
        <x:v>anonymous</x:v>
      </x:c>
      <x:c r="E7" s="65"/>
      <x:c r="F7" s="65" t="str">
        <x:v>BCA</x:v>
      </x:c>
      <x:c r="G7" s="65" t="str">
        <x:v>5th</x:v>
      </x:c>
      <x:c r="H7" s="65" t="str">
        <x:v>ML with Python</x:v>
      </x:c>
      <x:c r="I7" s="65" t="str">
        <x:v>AQUACHECK AI (Water Potability Prediction using Machine Learning)</x:v>
      </x:c>
      <x:c r="J7" s="142" t="str">
        <x:v>108427240077</x:v>
      </x:c>
      <x:c r="K7" s="65" t="str">
        <x:v>Soham De</x:v>
      </x:c>
      <x:c r="L7" s="65" t="str">
        <x:v>sagar963456@gmail.com</x:v>
      </x:c>
      <x:c r="M7" s="142" t="str">
        <x:v>9064545260</x:v>
      </x:c>
      <x:c r="N7" s="142"/>
      <x:c r="O7" s="65"/>
      <x:c r="P7" s="65"/>
      <x:c r="Q7" s="142"/>
      <x:c r="R7" s="142"/>
      <x:c r="S7" s="65"/>
      <x:c r="T7" s="65"/>
      <x:c r="U7" s="142"/>
      <x:c r="V7" s="142"/>
      <x:c r="W7" s="65"/>
      <x:c r="X7" s="65"/>
      <x:c r="Y7" s="142"/>
      <x:c r="Z7" s="142"/>
      <x:c r="AA7" s="65"/>
      <x:c r="AB7" s="65"/>
      <x:c r="AC7" s="142"/>
      <x:c r="AD7" s="142"/>
      <x:c r="AE7" s="65"/>
      <x:c r="AF7" s="65"/>
      <x:c r="AG7" s="142"/>
    </x:row>
    <x:row r="8" ht="24" customHeight="1">
      <x:c r="A8" s="65" t="n">
        <x:v>7</x:v>
      </x:c>
      <x:c r="B8" s="140" t="n">
        <x:v>46263.69322916667</x:v>
      </x:c>
      <x:c r="C8" s="140" t="n">
        <x:v>46263.69954861111</x:v>
      </x:c>
      <x:c r="D8" s="65" t="str">
        <x:v>anonymous</x:v>
      </x:c>
      <x:c r="E8" s="65"/>
      <x:c r="F8" s="65" t="str">
        <x:v>BCA</x:v>
      </x:c>
      <x:c r="G8" s="65" t="str">
        <x:v>5th</x:v>
      </x:c>
      <x:c r="H8" s="65" t="str">
        <x:v>ML with Python</x:v>
      </x:c>
      <x:c r="I8" s="65" t="str">
        <x:v>AI powered study planner and performance predicitor</x:v>
      </x:c>
      <x:c r="J8" s="142" t="str">
        <x:v>108427240084</x:v>
      </x:c>
      <x:c r="K8" s="65" t="str">
        <x:v>Subhanki Malik</x:v>
      </x:c>
      <x:c r="L8" s="65" t="str">
        <x:v>maliksubhanki@gmail.com</x:v>
      </x:c>
      <x:c r="M8" s="142" t="str">
        <x:v>8918564881</x:v>
      </x:c>
      <x:c r="N8" s="142" t="str">
        <x:v>108427240012</x:v>
      </x:c>
      <x:c r="O8" s="65" t="str">
        <x:v>Ankit kumar Thakur</x:v>
      </x:c>
      <x:c r="P8" s="65" t="str">
        <x:v>thakurani0017@gmail.com</x:v>
      </x:c>
      <x:c r="Q8" s="142" t="str">
        <x:v>8372819050</x:v>
      </x:c>
      <x:c r="R8" s="142" t="str">
        <x:v>108427240050</x:v>
      </x:c>
      <x:c r="S8" s="65" t="str">
        <x:v>Pritam Dubey</x:v>
      </x:c>
      <x:c r="T8" s="65" t="str">
        <x:v>pritamdubey440@gmail.com</x:v>
      </x:c>
      <x:c r="U8" s="142" t="str">
        <x:v>9907838892</x:v>
      </x:c>
      <x:c r="V8" s="142" t="str">
        <x:v>108427240081</x:v>
      </x:c>
      <x:c r="W8" s="65" t="str">
        <x:v>Souvik Poddar</x:v>
      </x:c>
      <x:c r="X8" s="65" t="str">
        <x:v>poddarsouvik03@gmail.com</x:v>
      </x:c>
      <x:c r="Y8" s="142" t="str">
        <x:v>9093091618</x:v>
      </x:c>
      <x:c r="Z8" s="142"/>
      <x:c r="AA8" s="65"/>
      <x:c r="AB8" s="65"/>
      <x:c r="AC8" s="142"/>
      <x:c r="AD8" s="142"/>
      <x:c r="AE8" s="65"/>
      <x:c r="AF8" s="65"/>
      <x:c r="AG8" s="142"/>
    </x:row>
    <x:row r="9" ht="24" customHeight="1">
      <x:c r="A9" s="65" t="n">
        <x:v>8</x:v>
      </x:c>
      <x:c r="B9" s="140" t="n">
        <x:v>46263.69503472222</x:v>
      </x:c>
      <x:c r="C9" s="140" t="n">
        <x:v>46263.69986111111</x:v>
      </x:c>
      <x:c r="D9" s="65" t="str">
        <x:v>anonymous</x:v>
      </x:c>
      <x:c r="E9" s="65"/>
      <x:c r="F9" s="65" t="str">
        <x:v>CST</x:v>
      </x:c>
      <x:c r="G9" s="65" t="str">
        <x:v>5th</x:v>
      </x:c>
      <x:c r="H9" s="65" t="str">
        <x:v>ML with Python</x:v>
      </x:c>
      <x:c r="I9" s="65" t="str">
        <x:v>Fashion Recommender System</x:v>
      </x:c>
      <x:c r="J9" s="142" t="str">
        <x:v>108321240013</x:v>
      </x:c>
      <x:c r="K9" s="65" t="str">
        <x:v>Khushi Singh</x:v>
      </x:c>
      <x:c r="L9" s="65" t="str">
        <x:v>khushisingh94727979@gmail.com</x:v>
      </x:c>
      <x:c r="M9" s="142" t="str">
        <x:v>8271823618</x:v>
      </x:c>
      <x:c r="N9" s="142" t="str">
        <x:v>108321240012</x:v>
      </x:c>
      <x:c r="O9" s="65" t="str">
        <x:v>Harsh Raunak Tiwary</x:v>
      </x:c>
      <x:c r="P9" s="65" t="str">
        <x:v>harshraunaktiwary@gmail.com</x:v>
      </x:c>
      <x:c r="Q9" s="142" t="str">
        <x:v>9229979769</x:v>
      </x:c>
      <x:c r="R9" s="142"/>
      <x:c r="S9" s="65"/>
      <x:c r="T9" s="65"/>
      <x:c r="U9" s="142"/>
      <x:c r="V9" s="142"/>
      <x:c r="W9" s="65"/>
      <x:c r="X9" s="65"/>
      <x:c r="Y9" s="142"/>
      <x:c r="Z9" s="142"/>
      <x:c r="AA9" s="65"/>
      <x:c r="AB9" s="65"/>
      <x:c r="AC9" s="142"/>
      <x:c r="AD9" s="142"/>
      <x:c r="AE9" s="65"/>
      <x:c r="AF9" s="65"/>
      <x:c r="AG9" s="142"/>
    </x:row>
    <x:row r="10" ht="24" customHeight="1">
      <x:c r="A10" s="65" t="n">
        <x:v>9</x:v>
      </x:c>
      <x:c r="B10" s="140" t="n">
        <x:v>46263.6937962963</x:v>
      </x:c>
      <x:c r="C10" s="140" t="n">
        <x:v>46263.701261574075</x:v>
      </x:c>
      <x:c r="D10" s="65" t="str">
        <x:v>anonymous</x:v>
      </x:c>
      <x:c r="E10" s="65"/>
      <x:c r="F10" s="65" t="str">
        <x:v>CSBS, BCA</x:v>
      </x:c>
      <x:c r="G10" s="65" t="str">
        <x:v>5th</x:v>
      </x:c>
      <x:c r="H10" s="65" t="str">
        <x:v>ML with Python</x:v>
      </x:c>
      <x:c r="I10" s="65" t="str">
        <x:v>Predictive Modelling Of Student Dropout Risk.</x:v>
      </x:c>
      <x:c r="J10" s="142" t="str">
        <x:v>108311240024</x:v>
      </x:c>
      <x:c r="K10" s="65" t="str">
        <x:v>Swastika Banerjee</x:v>
      </x:c>
      <x:c r="L10" s="65" t="str">
        <x:v>aec.csbs.swastikabanerjee@gmail.com</x:v>
      </x:c>
      <x:c r="M10" s="142" t="str">
        <x:v>7548970513</x:v>
      </x:c>
      <x:c r="N10" s="142" t="str">
        <x:v>108427240030</x:v>
      </x:c>
      <x:c r="O10" s="65" t="str">
        <x:v>Kaushikee Karmakar</x:v>
      </x:c>
      <x:c r="P10" s="65" t="str">
        <x:v>kaushikeekarmakar@gmail.com</x:v>
      </x:c>
      <x:c r="Q10" s="142" t="str">
        <x:v>8345848432</x:v>
      </x:c>
      <x:c r="R10" s="142" t="str">
        <x:v>108311240009</x:v>
      </x:c>
      <x:c r="S10" s="65" t="str">
        <x:v>Kripa Das</x:v>
      </x:c>
      <x:c r="T10" s="65" t="str">
        <x:v>daskripa071@gmail.com</x:v>
      </x:c>
      <x:c r="U10" s="142" t="str">
        <x:v>7319546501</x:v>
      </x:c>
      <x:c r="V10" s="142" t="str">
        <x:v>108427240013</x:v>
      </x:c>
      <x:c r="W10" s="65" t="str">
        <x:v>Ankita Kundu</x:v>
      </x:c>
      <x:c r="X10" s="65" t="str">
        <x:v>ankitahere633@gmail.com</x:v>
      </x:c>
      <x:c r="Y10" s="142" t="str">
        <x:v>6296916217</x:v>
      </x:c>
      <x:c r="Z10" s="142"/>
      <x:c r="AA10" s="65"/>
      <x:c r="AB10" s="65"/>
      <x:c r="AC10" s="142"/>
      <x:c r="AD10" s="142"/>
      <x:c r="AE10" s="65"/>
      <x:c r="AF10" s="65"/>
      <x:c r="AG10" s="142"/>
    </x:row>
    <x:row r="11" ht="24" customHeight="1">
      <x:c r="A11" s="65" t="n">
        <x:v>10</x:v>
      </x:c>
      <x:c r="B11" s="140" t="n">
        <x:v>46263.69336805555</x:v>
      </x:c>
      <x:c r="C11" s="140" t="n">
        <x:v>46263.70174768518</x:v>
      </x:c>
      <x:c r="D11" s="65" t="str">
        <x:v>anonymous</x:v>
      </x:c>
      <x:c r="E11" s="65"/>
      <x:c r="F11" s="65" t="str">
        <x:v>CDBS</x:v>
      </x:c>
      <x:c r="G11" s="65" t="str">
        <x:v>5th</x:v>
      </x:c>
      <x:c r="H11" s="65" t="str">
        <x:v>ML with Python</x:v>
      </x:c>
      <x:c r="I11" s="65" t="str">
        <x:v>Machine Learning Based Stock Market Analysis and Price Movement Prediction System</x:v>
      </x:c>
      <x:c r="J11" s="142" t="str">
        <x:v>108311240001</x:v>
      </x:c>
      <x:c r="K11" s="65" t="str">
        <x:v>Aastha Baranwal</x:v>
      </x:c>
      <x:c r="L11" s="65" t="str">
        <x:v>baranwalaastha0@gmail.com</x:v>
      </x:c>
      <x:c r="M11" s="142" t="str">
        <x:v>7001402600</x:v>
      </x:c>
      <x:c r="N11" s="142" t="str">
        <x:v>108311240006</x:v>
      </x:c>
      <x:c r="O11" s="65" t="str">
        <x:v>Barsha Shaw</x:v>
      </x:c>
      <x:c r="P11" s="65" t="str">
        <x:v>barshashaw160206@gmail.com</x:v>
      </x:c>
      <x:c r="Q11" s="142" t="str">
        <x:v>7810849245</x:v>
      </x:c>
      <x:c r="R11" s="142" t="str">
        <x:v>108311240010</x:v>
      </x:c>
      <x:c r="S11" s="65" t="str">
        <x:v>Manish Kumar Sharma</x:v>
      </x:c>
      <x:c r="T11" s="65" t="str">
        <x:v>tmanishthakur0.1@gmail.com</x:v>
      </x:c>
      <x:c r="U11" s="142" t="str">
        <x:v>6205521815</x:v>
      </x:c>
      <x:c r="V11" s="142" t="str">
        <x:v>108311240012</x:v>
      </x:c>
      <x:c r="W11" s="65" t="str">
        <x:v>Md. Arbaaz Faridi</x:v>
      </x:c>
      <x:c r="X11" s="65" t="str">
        <x:v>iamakss7860@gmail.com</x:v>
      </x:c>
      <x:c r="Y11" s="142" t="str">
        <x:v>6201563389</x:v>
      </x:c>
      <x:c r="Z11" s="142" t="str">
        <x:v>108311240001</x:v>
      </x:c>
      <x:c r="AA11" s="65" t="str">
        <x:v>Nikhil Kumar Rai</x:v>
      </x:c>
      <x:c r="AB11" s="65" t="str">
        <x:v>nr1207932@gmail.com</x:v>
      </x:c>
      <x:c r="AC11" s="142" t="str">
        <x:v>8804540940</x:v>
      </x:c>
      <x:c r="AD11" s="142" t="str">
        <x:v>108311240007</x:v>
      </x:c>
      <x:c r="AE11" s="65" t="str">
        <x:v>Captain Singh</x:v>
      </x:c>
      <x:c r="AF11" s="65" t="str">
        <x:v>singhcaptain09876@gmail.com</x:v>
      </x:c>
      <x:c r="AG11" s="142" t="str">
        <x:v>9641047967</x:v>
      </x:c>
    </x:row>
    <x:row r="12" ht="24" customHeight="1">
      <x:c r="A12" s="65" t="n">
        <x:v>11</x:v>
      </x:c>
      <x:c r="B12" s="140" t="n">
        <x:v>46263.69385416667</x:v>
      </x:c>
      <x:c r="C12" s="140" t="n">
        <x:v>46263.702199074076</x:v>
      </x:c>
      <x:c r="D12" s="65" t="str">
        <x:v>anonymous</x:v>
      </x:c>
      <x:c r="E12" s="65"/>
      <x:c r="F12" s="65" t="str">
        <x:v>CST</x:v>
      </x:c>
      <x:c r="G12" s="65" t="str">
        <x:v>5th</x:v>
      </x:c>
      <x:c r="H12" s="65" t="str">
        <x:v>ML with Python</x:v>
      </x:c>
      <x:c r="I12" s="65" t="str">
        <x:v>Air Quality Prediction</x:v>
      </x:c>
      <x:c r="J12" s="142" t="str">
        <x:v>108321240004</x:v>
      </x:c>
      <x:c r="K12" s="65" t="str">
        <x:v>Adrija Sadhu</x:v>
      </x:c>
      <x:c r="L12" s="65" t="str">
        <x:v>adrijasadhu17@gmail.com</x:v>
      </x:c>
      <x:c r="M12" s="142" t="str">
        <x:v>9064127892</x:v>
      </x:c>
      <x:c r="N12" s="142" t="str">
        <x:v>108321240010</x:v>
      </x:c>
      <x:c r="O12" s="65" t="str">
        <x:v>Debanjan Majumder</x:v>
      </x:c>
      <x:c r="P12" s="65" t="str">
        <x:v>debanjanmajumder565@gmail.com</x:v>
      </x:c>
      <x:c r="Q12" s="142" t="str">
        <x:v>8617869574</x:v>
      </x:c>
      <x:c r="R12" s="142" t="str">
        <x:v>108321240001</x:v>
      </x:c>
      <x:c r="S12" s="65" t="str">
        <x:v>Aakriti Krishna</x:v>
      </x:c>
      <x:c r="T12" s="65" t="str">
        <x:v>aec.cst.2024.aakritikrishna@gmail.com</x:v>
      </x:c>
      <x:c r="U12" s="142" t="str">
        <x:v>9905581935</x:v>
      </x:c>
      <x:c r="V12" s="142" t="str">
        <x:v>108321240003</x:v>
      </x:c>
      <x:c r="W12" s="65" t="str">
        <x:v>Aditi Khan</x:v>
      </x:c>
      <x:c r="X12" s="65" t="str">
        <x:v>aditikhan792@gmail.com</x:v>
      </x:c>
      <x:c r="Y12" s="142" t="str">
        <x:v>9798503864</x:v>
      </x:c>
      <x:c r="Z12" s="142" t="str">
        <x:v>108321251005</x:v>
      </x:c>
      <x:c r="AA12" s="65" t="str">
        <x:v>Rishika Gupta</x:v>
      </x:c>
      <x:c r="AB12" s="65" t="str">
        <x:v>rishika.gupta.3235151@gmail.com</x:v>
      </x:c>
      <x:c r="AC12" s="142" t="str">
        <x:v>8167854350</x:v>
      </x:c>
      <x:c r="AD12" s="142"/>
      <x:c r="AE12" s="65"/>
      <x:c r="AF12" s="65"/>
      <x:c r="AG12" s="142"/>
    </x:row>
    <x:row r="13" ht="24" customHeight="1">
      <x:c r="A13" s="65" t="n">
        <x:v>12</x:v>
      </x:c>
      <x:c r="B13" s="140" t="n">
        <x:v>46263.69364583334</x:v>
      </x:c>
      <x:c r="C13" s="140" t="n">
        <x:v>46263.70342592592</x:v>
      </x:c>
      <x:c r="D13" s="65" t="str">
        <x:v>anonymous</x:v>
      </x:c>
      <x:c r="E13" s="65"/>
      <x:c r="F13" s="65" t="str">
        <x:v>BCA</x:v>
      </x:c>
      <x:c r="G13" s="65" t="str">
        <x:v>5th</x:v>
      </x:c>
      <x:c r="H13" s="65" t="str">
        <x:v>ML with Python</x:v>
      </x:c>
      <x:c r="I13" s="65" t="str">
        <x:v>Machine Learning Weather Prediction – Forecasting the Future</x:v>
      </x:c>
      <x:c r="J13" s="142" t="str">
        <x:v>108427240011</x:v>
      </x:c>
      <x:c r="K13" s="65" t="str">
        <x:v>ANANYA  DEOGHARIA </x:v>
      </x:c>
      <x:c r="L13" s="65" t="str">
        <x:v>ananyadeogharia524@gmail.com</x:v>
      </x:c>
      <x:c r="M13" s="142" t="str">
        <x:v>8158860063</x:v>
      </x:c>
      <x:c r="N13" s="142" t="str">
        <x:v>108427240091</x:v>
      </x:c>
      <x:c r="O13" s="65" t="str">
        <x:v>TAHSIN FATIMA </x:v>
      </x:c>
      <x:c r="P13" s="65" t="str">
        <x:v>tahsinmallick68@gmail.com</x:v>
      </x:c>
      <x:c r="Q13" s="142" t="str">
        <x:v>9641019321</x:v>
      </x:c>
      <x:c r="R13" s="142" t="str">
        <x:v>108427240098</x:v>
      </x:c>
      <x:c r="S13" s="65" t="str">
        <x:v>Alisha Shaw</x:v>
      </x:c>
      <x:c r="T13" s="65" t="str">
        <x:v>Shawalisha129@gmail.com</x:v>
      </x:c>
      <x:c r="U13" s="142" t="str">
        <x:v>6297505671</x:v>
      </x:c>
      <x:c r="V13" s="142" t="str">
        <x:v> 108427240041 </x:v>
      </x:c>
      <x:c r="W13" s="65" t="str">
        <x:v>Moumita Gorai </x:v>
      </x:c>
      <x:c r="X13" s="65" t="str">
        <x:v>moumitagorai14@gmail.com</x:v>
      </x:c>
      <x:c r="Y13" s="142" t="str">
        <x:v> 9064113188</x:v>
      </x:c>
      <x:c r="Z13" s="142" t="str">
        <x:v>108427240019</x:v>
      </x:c>
      <x:c r="AA13" s="65" t="str">
        <x:v>Ayushika Shaw </x:v>
      </x:c>
      <x:c r="AB13" s="65" t="str">
        <x:v>ayushikashaw14@gmail</x:v>
      </x:c>
      <x:c r="AC13" s="142" t="str">
        <x:v> 7076972329</x:v>
      </x:c>
      <x:c r="AD13" s="142" t="str">
        <x:v> 108427240043 </x:v>
      </x:c>
      <x:c r="AE13" s="65" t="str">
        <x:v>Naman gawri</x:v>
      </x:c>
      <x:c r="AF13" s="65" t="str">
        <x:v> gawrinaman1234@gmail.com</x:v>
      </x:c>
      <x:c r="AG13" s="142" t="str">
        <x:v> 8509849886</x:v>
      </x:c>
    </x:row>
    <x:row r="14" ht="24" customHeight="1">
      <x:c r="A14" s="65" t="n">
        <x:v>13</x:v>
      </x:c>
      <x:c r="B14" s="140" t="n">
        <x:v>46264.93524305556</x:v>
      </x:c>
      <x:c r="C14" s="140" t="n">
        <x:v>46264.9372337963</x:v>
      </x:c>
      <x:c r="D14" s="65" t="str">
        <x:v>anonymous</x:v>
      </x:c>
      <x:c r="E14" s="65"/>
      <x:c r="F14" s="65" t="str">
        <x:v>BCA</x:v>
      </x:c>
      <x:c r="G14" s="65" t="str">
        <x:v>5th</x:v>
      </x:c>
      <x:c r="H14" s="65" t="str">
        <x:v>ML with Python</x:v>
      </x:c>
      <x:c r="I14" s="65" t="str">
        <x:v>"HandLex" - Sign Language Translations</x:v>
      </x:c>
      <x:c r="J14" s="142" t="str">
        <x:v>108427240048</x:v>
      </x:c>
      <x:c r="K14" s="65" t="str">
        <x:v>Prachi Shaw</x:v>
      </x:c>
      <x:c r="L14" s="65" t="str">
        <x:v>prachishaw.asansol@gmail.com</x:v>
      </x:c>
      <x:c r="M14" s="142" t="str">
        <x:v>9002757086</x:v>
      </x:c>
      <x:c r="N14" s="142" t="str">
        <x:v>108427240057</x:v>
      </x:c>
      <x:c r="O14" s="65" t="str">
        <x:v>Ritika Mandal</x:v>
      </x:c>
      <x:c r="P14" s="65" t="str">
        <x:v>ritika.mondal0808@gmail.com</x:v>
      </x:c>
      <x:c r="Q14" s="142" t="str">
        <x:v>2617524445</x:v>
      </x:c>
      <x:c r="R14" s="142"/>
      <x:c r="S14" s="65"/>
      <x:c r="T14" s="65"/>
      <x:c r="U14" s="142"/>
      <x:c r="V14" s="142"/>
      <x:c r="W14" s="65"/>
      <x:c r="X14" s="65"/>
      <x:c r="Y14" s="142"/>
      <x:c r="Z14" s="142"/>
      <x:c r="AA14" s="65"/>
      <x:c r="AB14" s="65"/>
      <x:c r="AC14" s="142"/>
      <x:c r="AD14" s="142"/>
      <x:c r="AE14" s="65"/>
      <x:c r="AF14" s="65"/>
      <x:c r="AG14" s="142"/>
    </x:row>
    <x:row r="15" ht="24" customHeight="1">
      <x:c r="A15" s="65" t="n">
        <x:v>14</x:v>
      </x:c>
      <x:c r="B15" s="140" t="n">
        <x:v>46265.671319444446</x:v>
      </x:c>
      <x:c r="C15" s="140" t="n">
        <x:v>46265.67369212963</x:v>
      </x:c>
      <x:c r="D15" s="65" t="str">
        <x:v>anonymous</x:v>
      </x:c>
      <x:c r="E15" s="65"/>
      <x:c r="F15" s="65" t="str">
        <x:v>BSC (DS)</x:v>
      </x:c>
      <x:c r="G15" s="65" t="str">
        <x:v>5th</x:v>
      </x:c>
      <x:c r="H15" s="65" t="str">
        <x:v>ML with Python</x:v>
      </x:c>
      <x:c r="I15" s="65" t="str">
        <x:v>Phising website detection using machine learning</x:v>
      </x:c>
      <x:c r="J15" s="142" t="str">
        <x:v>32240524029</x:v>
      </x:c>
      <x:c r="K15" s="65" t="str">
        <x:v>Ankit kumar singh</x:v>
      </x:c>
      <x:c r="L15" s="65" t="str">
        <x:v>as5754242@gmail.com</x:v>
      </x:c>
      <x:c r="M15" s="142" t="str">
        <x:v>9434358535</x:v>
      </x:c>
      <x:c r="N15" s="142"/>
      <x:c r="O15" s="65"/>
      <x:c r="P15" s="65"/>
      <x:c r="Q15" s="142"/>
      <x:c r="R15" s="142"/>
      <x:c r="S15" s="65"/>
      <x:c r="T15" s="65"/>
      <x:c r="U15" s="142"/>
      <x:c r="V15" s="142"/>
      <x:c r="W15" s="65"/>
      <x:c r="X15" s="65"/>
      <x:c r="Y15" s="142"/>
      <x:c r="Z15" s="142"/>
      <x:c r="AA15" s="65"/>
      <x:c r="AB15" s="65"/>
      <x:c r="AC15" s="142"/>
      <x:c r="AD15" s="142"/>
      <x:c r="AE15" s="65"/>
      <x:c r="AF15" s="65"/>
      <x:c r="AG15" s="142"/>
    </x:row>
    <x:row r="16" ht="24" customHeight="1">
      <x:c r="A16" s="65" t="n">
        <x:v>15</x:v>
      </x:c>
      <x:c r="B16" s="140" t="n">
        <x:v>46265.67086805555</x:v>
      </x:c>
      <x:c r="C16" s="140" t="n">
        <x:v>46265.67508101852</x:v>
      </x:c>
      <x:c r="D16" s="65" t="str">
        <x:v>anonymous</x:v>
      </x:c>
      <x:c r="E16" s="65"/>
      <x:c r="F16" s="65" t="str">
        <x:v>BCA</x:v>
      </x:c>
      <x:c r="G16" s="65" t="str">
        <x:v>5th</x:v>
      </x:c>
      <x:c r="H16" s="65" t="str">
        <x:v>ML with Python</x:v>
      </x:c>
      <x:c r="I16" s="65" t="str">
        <x:v>Network Intrusion Detection</x:v>
      </x:c>
      <x:c r="J16" s="142" t="str">
        <x:v>108427240008</x:v>
      </x:c>
      <x:c r="K16" s="65" t="str">
        <x:v>Aditya Sankar Pal</x:v>
      </x:c>
      <x:c r="L16" s="65" t="str">
        <x:v>adityaspal2004@gmail.com</x:v>
      </x:c>
      <x:c r="M16" s="142" t="str">
        <x:v>8250981492</x:v>
      </x:c>
      <x:c r="N16" s="142" t="str">
        <x:v>108427240016</x:v>
      </x:c>
      <x:c r="O16" s="65" t="str">
        <x:v>Anwesh Mishra</x:v>
      </x:c>
      <x:c r="P16" s="65" t="str">
        <x:v>anweshmishra731@gmail.com</x:v>
      </x:c>
      <x:c r="Q16" s="142" t="str">
        <x:v>8918709847</x:v>
      </x:c>
      <x:c r="R16" s="142" t="str">
        <x:v>108424740024</x:v>
      </x:c>
      <x:c r="S16" s="65" t="str">
        <x:v>Deep Gorai</x:v>
      </x:c>
      <x:c r="T16" s="65" t="str">
        <x:v>deepgorai575@gmail.com</x:v>
      </x:c>
      <x:c r="U16" s="142" t="str">
        <x:v>7865863049</x:v>
      </x:c>
      <x:c r="V16" s="142" t="str">
        <x:v>108427240009</x:v>
      </x:c>
      <x:c r="W16" s="65" t="str">
        <x:v>Aman Quraishi</x:v>
      </x:c>
      <x:c r="X16" s="65" t="str">
        <x:v>amanquraishi4542@gmail.com</x:v>
      </x:c>
      <x:c r="Y16" s="142" t="str">
        <x:v>9083210536</x:v>
      </x:c>
      <x:c r="Z16" s="142" t="str">
        <x:v>108427240045</x:v>
      </x:c>
      <x:c r="AA16" s="65" t="str">
        <x:v>Nayantara Ghosh </x:v>
      </x:c>
      <x:c r="AB16" s="65" t="str">
        <x:v>nayantaraghosh06@gmail.com</x:v>
      </x:c>
      <x:c r="AC16" s="142" t="str">
        <x:v>7001928311</x:v>
      </x:c>
      <x:c r="AD16" s="142" t="str">
        <x:v>108427240044</x:v>
      </x:c>
      <x:c r="AE16" s="65" t="str">
        <x:v>Nandini Mondal</x:v>
      </x:c>
      <x:c r="AF16" s="65" t="str">
        <x:v>mondalrajnandini008@gmail.com</x:v>
      </x:c>
      <x:c r="AG16" s="142" t="str">
        <x:v>9907310344</x:v>
      </x:c>
    </x:row>
    <x:row r="17" ht="24" customHeight="1">
      <x:c r="A17" s="65" t="n">
        <x:v>16</x:v>
      </x:c>
      <x:c r="B17" s="140"/>
      <x:c r="C17" s="140"/>
      <x:c r="D17" s="65"/>
      <x:c r="E17" s="65"/>
      <x:c r="F17" s="65"/>
      <x:c r="G17" s="65"/>
      <x:c r="H17" s="65"/>
      <x:c r="I17" s="65" t="str">
        <x:v>Predictive Model for Diabetes Detection</x:v>
      </x:c>
      <x:c r="J17" s="142" t="str">
        <x:v>108427240037</x:v>
      </x:c>
      <x:c r="K17" s="65" t="str">
        <x:v>MD SAHIL JAMIR ANSARI</x:v>
      </x:c>
      <x:c r="L17" s="65" t="str">
        <x:v>sahilansari4590@gmail.com</x:v>
      </x:c>
      <x:c r="M17" s="142" t="str">
        <x:v>8092675904</x:v>
      </x:c>
      <x:c r="N17" s="142"/>
      <x:c r="O17" s="65"/>
      <x:c r="P17" s="65"/>
      <x:c r="Q17" s="142"/>
      <x:c r="R17" s="142"/>
      <x:c r="S17" s="65"/>
      <x:c r="T17" s="65"/>
      <x:c r="U17" s="142"/>
      <x:c r="V17" s="142"/>
      <x:c r="W17" s="65"/>
      <x:c r="X17" s="65"/>
      <x:c r="Y17" s="142"/>
      <x:c r="Z17" s="142"/>
      <x:c r="AA17" s="65"/>
      <x:c r="AB17" s="65"/>
      <x:c r="AC17" s="142"/>
      <x:c r="AD17" s="142"/>
      <x:c r="AE17" s="65"/>
      <x:c r="AF17" s="65"/>
      <x:c r="AG17" s="142"/>
    </x:row>
  </x:sheetData>
  <x:pageMargins left="0.7" right="0.7" top="0.75" bottom="0.75" header="0.3" footer="0.3"/>
  <x:tableParts count="1">
    <x:tablePart xmlns:r="http://schemas.openxmlformats.org/officeDocument/2006/relationships" r:id="Rf401582cbc544b27"/>
  </x:tableParts>
</x:worksheet>
</file>