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tables/table7.xml" ContentType="application/vnd.openxmlformats-officedocument.spreadsheetml.tab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 Backup\2GITHUB\AEC_ML_Batch_2_August_2026\"/>
    </mc:Choice>
  </mc:AlternateContent>
  <xr:revisionPtr revIDLastSave="0" documentId="13_ncr:1_{91057233-F4E7-4958-AAD4-CC780954A1E0}" xr6:coauthVersionLast="47" xr6:coauthVersionMax="47" xr10:uidLastSave="{00000000-0000-0000-0000-000000000000}"/>
  <bookViews>
    <workbookView xWindow="-108" yWindow="-108" windowWidth="23256" windowHeight="13896" tabRatio="823" firstSheet="7" activeTab="9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4" l="1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G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2" i="2"/>
  <c r="F1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" i="2"/>
  <c r="I60" i="1"/>
  <c r="N12" i="1"/>
  <c r="G8" i="10"/>
  <c r="F3" i="10"/>
  <c r="G4" i="10"/>
  <c r="G5" i="10"/>
  <c r="G6" i="10"/>
  <c r="G7" i="10"/>
  <c r="G3" i="10"/>
  <c r="F4" i="10"/>
  <c r="F5" i="10"/>
  <c r="F6" i="10"/>
  <c r="F7" i="10"/>
  <c r="D11" i="10"/>
  <c r="D12" i="10"/>
  <c r="F6" i="2" l="1"/>
  <c r="F7" i="2"/>
  <c r="F13" i="2"/>
  <c r="F5" i="2"/>
  <c r="H13" i="2"/>
  <c r="H5" i="2"/>
  <c r="F3" i="2"/>
  <c r="H12" i="2"/>
  <c r="F9" i="2"/>
  <c r="H11" i="2"/>
  <c r="H3" i="2"/>
  <c r="H2" i="2"/>
  <c r="F2" i="2"/>
  <c r="H15" i="2"/>
  <c r="F8" i="2"/>
  <c r="H6" i="2"/>
  <c r="F11" i="2"/>
  <c r="H8" i="2"/>
  <c r="H4" i="2"/>
  <c r="F4" i="2"/>
  <c r="H10" i="2"/>
  <c r="H9" i="2"/>
  <c r="F10" i="2"/>
  <c r="H16" i="2"/>
  <c r="H7" i="2"/>
  <c r="F16" i="2"/>
  <c r="H14" i="2"/>
  <c r="F15" i="2"/>
  <c r="F14" i="2"/>
  <c r="B21" i="11"/>
  <c r="G15" i="11"/>
  <c r="G16" i="11"/>
  <c r="G14" i="11"/>
  <c r="B20" i="11"/>
  <c r="B19" i="11"/>
  <c r="B18" i="11"/>
  <c r="B17" i="11"/>
  <c r="B16" i="11"/>
  <c r="B15" i="11"/>
  <c r="B14" i="11"/>
  <c r="B13" i="11"/>
  <c r="C11" i="11"/>
  <c r="D11" i="11"/>
  <c r="E11" i="11"/>
  <c r="F11" i="11"/>
  <c r="G11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F10" i="11"/>
  <c r="G10" i="1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6" i="1"/>
</calcChain>
</file>

<file path=xl/sharedStrings.xml><?xml version="1.0" encoding="utf-8"?>
<sst xmlns="http://schemas.openxmlformats.org/spreadsheetml/2006/main" count="1066" uniqueCount="227">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</sst>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6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b/>
      <sz val="10"/>
      <color rgb="FFC00000"/>
      <name val="Calibri"/>
      <family val="2"/>
      <scheme val="minor"/>
    </font>
    <font>
      <i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3" fillId="0" borderId="0"/>
  </cellStyleXfs>
  <cellXfs count="318">
    <xf numFmtId="0" fontId="0" fillId="0" borderId="0" xfId="0"/>
    <xf numFmtId="0" fontId="2" fillId="0" borderId="0" xfId="1"/>
    <xf numFmtId="0" fontId="3" fillId="0" borderId="0" xfId="1" applyFont="1" applyAlignment="1">
      <alignment horizontal="left"/>
    </xf>
    <xf numFmtId="0" fontId="2" fillId="0" borderId="0" xfId="1" applyAlignment="1">
      <alignment horizontal="left"/>
    </xf>
    <xf numFmtId="0" fontId="4" fillId="0" borderId="1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4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/>
    </xf>
    <xf numFmtId="0" fontId="5" fillId="0" borderId="5" xfId="1" applyFont="1" applyBorder="1" applyAlignment="1">
      <alignment horizontal="center"/>
    </xf>
    <xf numFmtId="0" fontId="3" fillId="2" borderId="1" xfId="1" applyFont="1" applyFill="1" applyBorder="1" applyAlignment="1">
      <alignment horizontal="left"/>
    </xf>
    <xf numFmtId="0" fontId="2" fillId="0" borderId="6" xfId="1" applyBorder="1" applyAlignment="1">
      <alignment horizontal="left"/>
    </xf>
    <xf numFmtId="0" fontId="2" fillId="2" borderId="7" xfId="1" applyFill="1" applyBorder="1" applyAlignment="1">
      <alignment horizontal="left"/>
    </xf>
    <xf numFmtId="0" fontId="3" fillId="0" borderId="8" xfId="1" applyFont="1" applyBorder="1" applyAlignment="1">
      <alignment horizontal="left"/>
    </xf>
    <xf numFmtId="0" fontId="2" fillId="0" borderId="9" xfId="1" applyBorder="1" applyAlignment="1">
      <alignment horizontal="left"/>
    </xf>
    <xf numFmtId="0" fontId="4" fillId="0" borderId="0" xfId="1" applyFont="1" applyAlignment="1">
      <alignment horizontal="left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3" fillId="0" borderId="8" xfId="1" applyFont="1" applyBorder="1"/>
    <xf numFmtId="0" fontId="3" fillId="2" borderId="1" xfId="1" applyFont="1" applyFill="1" applyBorder="1"/>
    <xf numFmtId="0" fontId="3" fillId="0" borderId="10" xfId="1" applyFont="1" applyBorder="1"/>
    <xf numFmtId="0" fontId="2" fillId="0" borderId="5" xfId="1" applyBorder="1" applyAlignment="1">
      <alignment horizontal="left"/>
    </xf>
    <xf numFmtId="0" fontId="2" fillId="0" borderId="4" xfId="1" applyBorder="1" applyAlignment="1">
      <alignment horizontal="left"/>
    </xf>
    <xf numFmtId="0" fontId="3" fillId="0" borderId="0" xfId="1" applyFont="1"/>
    <xf numFmtId="0" fontId="4" fillId="0" borderId="11" xfId="1" applyFont="1" applyBorder="1" applyAlignment="1">
      <alignment horizontal="center"/>
    </xf>
    <xf numFmtId="0" fontId="2" fillId="0" borderId="6" xfId="1" applyBorder="1"/>
    <xf numFmtId="0" fontId="2" fillId="0" borderId="7" xfId="1" applyBorder="1" applyAlignment="1">
      <alignment horizontal="left"/>
    </xf>
    <xf numFmtId="0" fontId="2" fillId="2" borderId="9" xfId="1" applyFill="1" applyBorder="1" applyAlignment="1">
      <alignment horizontal="left"/>
    </xf>
    <xf numFmtId="0" fontId="2" fillId="0" borderId="5" xfId="1" applyBorder="1"/>
    <xf numFmtId="0" fontId="6" fillId="3" borderId="12" xfId="1" applyFont="1" applyFill="1" applyBorder="1" applyAlignment="1">
      <alignment vertical="center" wrapText="1"/>
    </xf>
    <xf numFmtId="0" fontId="7" fillId="3" borderId="12" xfId="1" applyFont="1" applyFill="1" applyBorder="1" applyAlignment="1">
      <alignment vertical="center" wrapText="1"/>
    </xf>
    <xf numFmtId="0" fontId="7" fillId="4" borderId="12" xfId="1" applyFont="1" applyFill="1" applyBorder="1" applyAlignment="1">
      <alignment vertical="center" wrapText="1"/>
    </xf>
    <xf numFmtId="0" fontId="9" fillId="0" borderId="0" xfId="1" applyFont="1" applyAlignment="1">
      <alignment horizontal="left" vertical="center" indent="2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 wrapText="1"/>
    </xf>
    <xf numFmtId="0" fontId="2" fillId="0" borderId="18" xfId="1" applyBorder="1"/>
    <xf numFmtId="164" fontId="2" fillId="0" borderId="19" xfId="1" applyNumberFormat="1" applyBorder="1"/>
    <xf numFmtId="164" fontId="2" fillId="0" borderId="20" xfId="1" applyNumberFormat="1" applyBorder="1"/>
    <xf numFmtId="0" fontId="2" fillId="0" borderId="21" xfId="1" applyBorder="1"/>
    <xf numFmtId="165" fontId="2" fillId="0" borderId="18" xfId="1" applyNumberFormat="1" applyBorder="1"/>
    <xf numFmtId="0" fontId="2" fillId="0" borderId="22" xfId="1" applyBorder="1"/>
    <xf numFmtId="0" fontId="3" fillId="0" borderId="0" xfId="1" applyFont="1" applyAlignment="1">
      <alignment horizontal="center"/>
    </xf>
    <xf numFmtId="0" fontId="2" fillId="0" borderId="23" xfId="1" applyBorder="1"/>
    <xf numFmtId="164" fontId="2" fillId="0" borderId="24" xfId="1" applyNumberFormat="1" applyBorder="1"/>
    <xf numFmtId="164" fontId="2" fillId="0" borderId="12" xfId="1" applyNumberFormat="1" applyBorder="1"/>
    <xf numFmtId="0" fontId="2" fillId="0" borderId="25" xfId="1" applyBorder="1"/>
    <xf numFmtId="165" fontId="2" fillId="0" borderId="26" xfId="1" applyNumberFormat="1" applyBorder="1"/>
    <xf numFmtId="0" fontId="2" fillId="0" borderId="27" xfId="1" applyBorder="1"/>
    <xf numFmtId="164" fontId="2" fillId="0" borderId="0" xfId="1" applyNumberFormat="1"/>
    <xf numFmtId="0" fontId="13" fillId="0" borderId="0" xfId="2"/>
    <xf numFmtId="0" fontId="2" fillId="0" borderId="28" xfId="1" applyBorder="1"/>
    <xf numFmtId="164" fontId="2" fillId="0" borderId="29" xfId="1" applyNumberFormat="1" applyBorder="1"/>
    <xf numFmtId="164" fontId="2" fillId="0" borderId="30" xfId="1" applyNumberFormat="1" applyBorder="1"/>
    <xf numFmtId="0" fontId="2" fillId="0" borderId="31" xfId="1" applyBorder="1"/>
    <xf numFmtId="165" fontId="2" fillId="0" borderId="3" xfId="1" applyNumberFormat="1" applyBorder="1"/>
    <xf numFmtId="0" fontId="2" fillId="0" borderId="32" xfId="1" applyBorder="1"/>
    <xf numFmtId="0" fontId="3" fillId="0" borderId="33" xfId="1" applyFont="1" applyBorder="1" applyAlignment="1">
      <alignment horizontal="center" vertical="center"/>
    </xf>
    <xf numFmtId="0" fontId="3" fillId="5" borderId="14" xfId="1" applyFont="1" applyFill="1" applyBorder="1" applyAlignment="1">
      <alignment horizontal="center" vertical="center" wrapText="1"/>
    </xf>
    <xf numFmtId="0" fontId="3" fillId="5" borderId="16" xfId="1" applyFont="1" applyFill="1" applyBorder="1" applyAlignment="1">
      <alignment horizontal="center" vertical="center"/>
    </xf>
    <xf numFmtId="0" fontId="3" fillId="6" borderId="17" xfId="1" applyFont="1" applyFill="1" applyBorder="1" applyAlignment="1">
      <alignment horizontal="center" vertical="center" wrapText="1"/>
    </xf>
    <xf numFmtId="0" fontId="3" fillId="6" borderId="16" xfId="1" applyFont="1" applyFill="1" applyBorder="1" applyAlignment="1">
      <alignment horizontal="center" vertical="center"/>
    </xf>
    <xf numFmtId="0" fontId="2" fillId="0" borderId="26" xfId="1" applyBorder="1" applyAlignment="1">
      <alignment horizontal="center"/>
    </xf>
    <xf numFmtId="0" fontId="2" fillId="0" borderId="23" xfId="1" applyBorder="1" applyAlignment="1">
      <alignment horizontal="center"/>
    </xf>
    <xf numFmtId="0" fontId="2" fillId="0" borderId="36" xfId="1" applyBorder="1"/>
    <xf numFmtId="165" fontId="2" fillId="0" borderId="37" xfId="1" applyNumberFormat="1" applyBorder="1"/>
    <xf numFmtId="0" fontId="2" fillId="0" borderId="28" xfId="1" applyBorder="1" applyAlignment="1">
      <alignment horizontal="center"/>
    </xf>
    <xf numFmtId="0" fontId="2" fillId="0" borderId="38" xfId="1" applyBorder="1"/>
    <xf numFmtId="165" fontId="2" fillId="0" borderId="39" xfId="1" applyNumberFormat="1" applyBorder="1"/>
    <xf numFmtId="0" fontId="3" fillId="0" borderId="40" xfId="1" applyFont="1" applyBorder="1" applyAlignment="1">
      <alignment horizontal="center" vertical="center" wrapText="1"/>
    </xf>
    <xf numFmtId="0" fontId="3" fillId="0" borderId="41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/>
    </xf>
    <xf numFmtId="0" fontId="3" fillId="0" borderId="43" xfId="1" applyFont="1" applyBorder="1" applyAlignment="1">
      <alignment horizontal="center" vertical="center"/>
    </xf>
    <xf numFmtId="0" fontId="2" fillId="0" borderId="44" xfId="1" applyBorder="1"/>
    <xf numFmtId="164" fontId="2" fillId="0" borderId="45" xfId="1" applyNumberFormat="1" applyBorder="1"/>
    <xf numFmtId="164" fontId="2" fillId="0" borderId="46" xfId="1" applyNumberFormat="1" applyBorder="1"/>
    <xf numFmtId="0" fontId="2" fillId="0" borderId="47" xfId="1" applyBorder="1"/>
    <xf numFmtId="165" fontId="2" fillId="0" borderId="45" xfId="1" applyNumberFormat="1" applyBorder="1"/>
    <xf numFmtId="0" fontId="2" fillId="0" borderId="48" xfId="1" applyBorder="1"/>
    <xf numFmtId="2" fontId="2" fillId="0" borderId="49" xfId="1" applyNumberFormat="1" applyBorder="1"/>
    <xf numFmtId="0" fontId="2" fillId="0" borderId="50" xfId="1" applyBorder="1"/>
    <xf numFmtId="164" fontId="2" fillId="0" borderId="37" xfId="1" applyNumberFormat="1" applyBorder="1"/>
    <xf numFmtId="0" fontId="2" fillId="0" borderId="24" xfId="1" applyBorder="1"/>
    <xf numFmtId="0" fontId="3" fillId="0" borderId="15" xfId="1" applyFont="1" applyBorder="1" applyAlignment="1">
      <alignment horizontal="center" vertical="center" wrapText="1"/>
    </xf>
    <xf numFmtId="0" fontId="3" fillId="0" borderId="1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/>
    </xf>
    <xf numFmtId="0" fontId="2" fillId="0" borderId="51" xfId="1" applyBorder="1"/>
    <xf numFmtId="0" fontId="2" fillId="0" borderId="52" xfId="1" applyBorder="1"/>
    <xf numFmtId="0" fontId="2" fillId="0" borderId="53" xfId="1" applyBorder="1"/>
    <xf numFmtId="0" fontId="2" fillId="0" borderId="1" xfId="1" applyBorder="1"/>
    <xf numFmtId="0" fontId="2" fillId="0" borderId="54" xfId="1" applyBorder="1"/>
    <xf numFmtId="164" fontId="2" fillId="0" borderId="55" xfId="1" applyNumberFormat="1" applyBorder="1"/>
    <xf numFmtId="164" fontId="2" fillId="0" borderId="56" xfId="1" applyNumberFormat="1" applyBorder="1"/>
    <xf numFmtId="0" fontId="2" fillId="0" borderId="57" xfId="1" applyBorder="1"/>
    <xf numFmtId="0" fontId="2" fillId="0" borderId="58" xfId="1" applyBorder="1"/>
    <xf numFmtId="2" fontId="2" fillId="0" borderId="24" xfId="1" applyNumberFormat="1" applyBorder="1"/>
    <xf numFmtId="2" fontId="2" fillId="0" borderId="58" xfId="1" applyNumberFormat="1" applyBorder="1"/>
    <xf numFmtId="0" fontId="3" fillId="0" borderId="60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11" xfId="1" applyFont="1" applyBorder="1" applyAlignment="1">
      <alignment horizontal="center"/>
    </xf>
    <xf numFmtId="0" fontId="2" fillId="0" borderId="61" xfId="1" applyBorder="1" applyAlignment="1">
      <alignment horizontal="center"/>
    </xf>
    <xf numFmtId="2" fontId="2" fillId="0" borderId="8" xfId="1" applyNumberFormat="1" applyBorder="1"/>
    <xf numFmtId="2" fontId="2" fillId="0" borderId="0" xfId="1" applyNumberFormat="1"/>
    <xf numFmtId="0" fontId="2" fillId="0" borderId="3" xfId="1" applyBorder="1" applyAlignment="1">
      <alignment horizontal="center"/>
    </xf>
    <xf numFmtId="2" fontId="2" fillId="0" borderId="10" xfId="1" applyNumberFormat="1" applyBorder="1"/>
    <xf numFmtId="2" fontId="2" fillId="0" borderId="5" xfId="1" applyNumberFormat="1" applyBorder="1"/>
    <xf numFmtId="0" fontId="3" fillId="0" borderId="59" xfId="1" applyFont="1" applyBorder="1"/>
    <xf numFmtId="2" fontId="2" fillId="0" borderId="59" xfId="1" applyNumberFormat="1" applyBorder="1"/>
    <xf numFmtId="2" fontId="2" fillId="0" borderId="7" xfId="1" applyNumberFormat="1" applyBorder="1"/>
    <xf numFmtId="2" fontId="2" fillId="0" borderId="4" xfId="1" applyNumberFormat="1" applyBorder="1"/>
    <xf numFmtId="2" fontId="2" fillId="0" borderId="9" xfId="1" applyNumberFormat="1" applyBorder="1"/>
    <xf numFmtId="0" fontId="3" fillId="0" borderId="59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0" borderId="14" xfId="1" applyBorder="1"/>
    <xf numFmtId="0" fontId="2" fillId="0" borderId="15" xfId="1" applyBorder="1"/>
    <xf numFmtId="0" fontId="2" fillId="0" borderId="16" xfId="1" applyBorder="1"/>
    <xf numFmtId="0" fontId="3" fillId="0" borderId="14" xfId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3" fillId="0" borderId="15" xfId="1" applyFont="1" applyBorder="1" applyAlignment="1">
      <alignment horizontal="center"/>
    </xf>
    <xf numFmtId="2" fontId="2" fillId="0" borderId="35" xfId="1" applyNumberFormat="1" applyBorder="1"/>
    <xf numFmtId="2" fontId="2" fillId="0" borderId="21" xfId="1" applyNumberFormat="1" applyBorder="1"/>
    <xf numFmtId="2" fontId="2" fillId="0" borderId="37" xfId="1" applyNumberFormat="1" applyBorder="1"/>
    <xf numFmtId="2" fontId="2" fillId="0" borderId="25" xfId="1" applyNumberFormat="1" applyBorder="1"/>
    <xf numFmtId="2" fontId="2" fillId="0" borderId="39" xfId="1" applyNumberFormat="1" applyBorder="1"/>
    <xf numFmtId="2" fontId="2" fillId="0" borderId="31" xfId="1" applyNumberFormat="1" applyBorder="1"/>
    <xf numFmtId="0" fontId="16" fillId="0" borderId="0" xfId="1" applyFont="1" applyAlignment="1">
      <alignment horizontal="center"/>
    </xf>
    <xf numFmtId="0" fontId="2" fillId="0" borderId="1" xfId="1" applyBorder="1" applyAlignment="1">
      <alignment horizontal="center"/>
    </xf>
    <xf numFmtId="0" fontId="2" fillId="0" borderId="17" xfId="1" applyBorder="1" applyAlignment="1">
      <alignment horizontal="center"/>
    </xf>
    <xf numFmtId="0" fontId="2" fillId="0" borderId="15" xfId="1" applyBorder="1" applyAlignment="1">
      <alignment horizontal="center"/>
    </xf>
    <xf numFmtId="0" fontId="2" fillId="0" borderId="16" xfId="1" applyBorder="1" applyAlignment="1">
      <alignment horizontal="center"/>
    </xf>
    <xf numFmtId="0" fontId="2" fillId="0" borderId="19" xfId="1" applyBorder="1" applyAlignment="1">
      <alignment horizontal="center"/>
    </xf>
    <xf numFmtId="0" fontId="2" fillId="0" borderId="20" xfId="1" applyBorder="1" applyAlignment="1">
      <alignment horizontal="center"/>
    </xf>
    <xf numFmtId="0" fontId="2" fillId="0" borderId="34" xfId="1" applyBorder="1" applyAlignment="1">
      <alignment horizontal="center"/>
    </xf>
    <xf numFmtId="0" fontId="2" fillId="0" borderId="24" xfId="1" applyBorder="1" applyAlignment="1">
      <alignment horizontal="center"/>
    </xf>
    <xf numFmtId="0" fontId="2" fillId="0" borderId="12" xfId="1" applyBorder="1" applyAlignment="1">
      <alignment horizontal="center"/>
    </xf>
    <xf numFmtId="0" fontId="2" fillId="0" borderId="36" xfId="1" applyBorder="1" applyAlignment="1">
      <alignment horizontal="center"/>
    </xf>
    <xf numFmtId="0" fontId="12" fillId="2" borderId="36" xfId="1" applyFont="1" applyFill="1" applyBorder="1" applyAlignment="1">
      <alignment horizontal="center"/>
    </xf>
    <xf numFmtId="0" fontId="2" fillId="0" borderId="58" xfId="1" applyBorder="1" applyAlignment="1">
      <alignment horizontal="center"/>
    </xf>
    <xf numFmtId="0" fontId="2" fillId="0" borderId="56" xfId="1" applyBorder="1" applyAlignment="1">
      <alignment horizontal="center"/>
    </xf>
    <xf numFmtId="0" fontId="12" fillId="2" borderId="56" xfId="1" applyFont="1" applyFill="1" applyBorder="1" applyAlignment="1">
      <alignment horizontal="center"/>
    </xf>
    <xf numFmtId="0" fontId="2" fillId="0" borderId="57" xfId="1" applyBorder="1" applyAlignment="1">
      <alignment horizontal="center"/>
    </xf>
    <xf numFmtId="0" fontId="14" fillId="7" borderId="1" xfId="1" applyFont="1" applyFill="1" applyBorder="1" applyAlignment="1">
      <alignment horizontal="center"/>
    </xf>
    <xf numFmtId="0" fontId="14" fillId="7" borderId="17" xfId="1" applyFont="1" applyFill="1" applyBorder="1" applyAlignment="1">
      <alignment horizontal="center"/>
    </xf>
    <xf numFmtId="0" fontId="14" fillId="7" borderId="15" xfId="1" applyFont="1" applyFill="1" applyBorder="1" applyAlignment="1">
      <alignment horizontal="center"/>
    </xf>
    <xf numFmtId="0" fontId="14" fillId="7" borderId="16" xfId="1" applyFont="1" applyFill="1" applyBorder="1" applyAlignment="1">
      <alignment horizontal="center"/>
    </xf>
    <xf numFmtId="0" fontId="14" fillId="7" borderId="26" xfId="1" applyFont="1" applyFill="1" applyBorder="1" applyAlignment="1">
      <alignment horizontal="center"/>
    </xf>
    <xf numFmtId="0" fontId="2" fillId="8" borderId="19" xfId="1" applyFill="1" applyBorder="1" applyAlignment="1">
      <alignment horizontal="center"/>
    </xf>
    <xf numFmtId="0" fontId="2" fillId="8" borderId="20" xfId="1" applyFill="1" applyBorder="1" applyAlignment="1">
      <alignment horizontal="center"/>
    </xf>
    <xf numFmtId="0" fontId="2" fillId="8" borderId="21" xfId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2" fillId="0" borderId="25" xfId="1" applyBorder="1" applyAlignment="1">
      <alignment horizontal="center"/>
    </xf>
    <xf numFmtId="0" fontId="2" fillId="8" borderId="24" xfId="1" applyFill="1" applyBorder="1" applyAlignment="1">
      <alignment horizontal="center"/>
    </xf>
    <xf numFmtId="0" fontId="2" fillId="8" borderId="12" xfId="1" applyFill="1" applyBorder="1" applyAlignment="1">
      <alignment horizontal="center"/>
    </xf>
    <xf numFmtId="0" fontId="2" fillId="8" borderId="25" xfId="1" applyFill="1" applyBorder="1" applyAlignment="1">
      <alignment horizontal="center"/>
    </xf>
    <xf numFmtId="0" fontId="12" fillId="2" borderId="25" xfId="1" applyFont="1" applyFill="1" applyBorder="1" applyAlignment="1">
      <alignment horizontal="center"/>
    </xf>
    <xf numFmtId="0" fontId="14" fillId="7" borderId="28" xfId="1" applyFont="1" applyFill="1" applyBorder="1" applyAlignment="1">
      <alignment horizontal="center"/>
    </xf>
    <xf numFmtId="0" fontId="2" fillId="8" borderId="29" xfId="1" applyFill="1" applyBorder="1" applyAlignment="1">
      <alignment horizontal="center"/>
    </xf>
    <xf numFmtId="0" fontId="2" fillId="8" borderId="30" xfId="1" applyFill="1" applyBorder="1" applyAlignment="1">
      <alignment horizontal="center"/>
    </xf>
    <xf numFmtId="0" fontId="12" fillId="2" borderId="30" xfId="1" applyFont="1" applyFill="1" applyBorder="1" applyAlignment="1">
      <alignment horizontal="center"/>
    </xf>
    <xf numFmtId="0" fontId="2" fillId="8" borderId="53" xfId="1" applyFill="1" applyBorder="1" applyAlignment="1">
      <alignment horizontal="center"/>
    </xf>
    <xf numFmtId="0" fontId="12" fillId="9" borderId="20" xfId="1" applyFont="1" applyFill="1" applyBorder="1" applyAlignment="1">
      <alignment horizontal="center"/>
    </xf>
    <xf numFmtId="0" fontId="12" fillId="2" borderId="12" xfId="1" applyFont="1" applyFill="1" applyBorder="1" applyAlignment="1">
      <alignment horizontal="center"/>
    </xf>
    <xf numFmtId="0" fontId="12" fillId="9" borderId="12" xfId="1" applyFont="1" applyFill="1" applyBorder="1" applyAlignment="1">
      <alignment horizontal="center"/>
    </xf>
    <xf numFmtId="0" fontId="12" fillId="2" borderId="24" xfId="1" applyFont="1" applyFill="1" applyBorder="1" applyAlignment="1">
      <alignment horizontal="center"/>
    </xf>
    <xf numFmtId="0" fontId="17" fillId="0" borderId="0" xfId="1" applyFont="1" applyAlignment="1">
      <alignment horizontal="left" vertical="center" indent="1"/>
    </xf>
    <xf numFmtId="0" fontId="2" fillId="0" borderId="50" xfId="1" applyBorder="1" applyAlignment="1">
      <alignment vertical="center"/>
    </xf>
    <xf numFmtId="164" fontId="2" fillId="0" borderId="37" xfId="1" applyNumberFormat="1" applyBorder="1" applyAlignment="1">
      <alignment vertical="center"/>
    </xf>
    <xf numFmtId="164" fontId="2" fillId="0" borderId="12" xfId="1" applyNumberFormat="1" applyBorder="1" applyAlignment="1">
      <alignment vertical="center"/>
    </xf>
    <xf numFmtId="0" fontId="2" fillId="0" borderId="36" xfId="1" applyBorder="1" applyAlignment="1">
      <alignment vertical="center"/>
    </xf>
    <xf numFmtId="165" fontId="2" fillId="0" borderId="37" xfId="1" applyNumberFormat="1" applyBorder="1" applyAlignment="1">
      <alignment vertical="center"/>
    </xf>
    <xf numFmtId="0" fontId="2" fillId="0" borderId="25" xfId="1" applyBorder="1" applyAlignment="1">
      <alignment vertical="center"/>
    </xf>
    <xf numFmtId="0" fontId="2" fillId="0" borderId="24" xfId="1" applyBorder="1" applyAlignment="1">
      <alignment vertical="center"/>
    </xf>
    <xf numFmtId="0" fontId="2" fillId="0" borderId="0" xfId="1" applyAlignment="1">
      <alignment vertical="center"/>
    </xf>
    <xf numFmtId="0" fontId="3" fillId="0" borderId="2" xfId="1" applyFont="1" applyBorder="1" applyAlignment="1">
      <alignment horizontal="center" vertical="center"/>
    </xf>
    <xf numFmtId="0" fontId="13" fillId="0" borderId="34" xfId="2" applyBorder="1"/>
    <xf numFmtId="0" fontId="13" fillId="0" borderId="36" xfId="2" applyBorder="1"/>
    <xf numFmtId="0" fontId="13" fillId="0" borderId="38" xfId="2" applyBorder="1"/>
    <xf numFmtId="165" fontId="2" fillId="6" borderId="8" xfId="1" applyNumberFormat="1" applyFill="1" applyBorder="1"/>
    <xf numFmtId="165" fontId="2" fillId="6" borderId="0" xfId="1" applyNumberFormat="1" applyFill="1"/>
    <xf numFmtId="165" fontId="2" fillId="6" borderId="10" xfId="1" applyNumberFormat="1" applyFill="1" applyBorder="1"/>
    <xf numFmtId="165" fontId="2" fillId="6" borderId="5" xfId="1" applyNumberFormat="1" applyFill="1" applyBorder="1"/>
    <xf numFmtId="0" fontId="19" fillId="0" borderId="17" xfId="1" applyFont="1" applyBorder="1" applyAlignment="1">
      <alignment horizontal="center" vertical="center"/>
    </xf>
    <xf numFmtId="0" fontId="3" fillId="2" borderId="15" xfId="1" applyFont="1" applyFill="1" applyBorder="1" applyAlignment="1">
      <alignment horizontal="center"/>
    </xf>
    <xf numFmtId="0" fontId="2" fillId="0" borderId="35" xfId="1" applyBorder="1"/>
    <xf numFmtId="0" fontId="2" fillId="0" borderId="19" xfId="1" applyBorder="1"/>
    <xf numFmtId="0" fontId="2" fillId="0" borderId="20" xfId="1" applyBorder="1"/>
    <xf numFmtId="0" fontId="2" fillId="0" borderId="26" xfId="1" applyBorder="1"/>
    <xf numFmtId="0" fontId="2" fillId="0" borderId="37" xfId="1" applyBorder="1"/>
    <xf numFmtId="0" fontId="2" fillId="0" borderId="12" xfId="1" applyBorder="1"/>
    <xf numFmtId="0" fontId="2" fillId="0" borderId="39" xfId="1" applyBorder="1"/>
    <xf numFmtId="0" fontId="2" fillId="0" borderId="29" xfId="1" applyBorder="1"/>
    <xf numFmtId="0" fontId="2" fillId="0" borderId="30" xfId="1" applyBorder="1"/>
    <xf numFmtId="2" fontId="2" fillId="0" borderId="46" xfId="1" applyNumberFormat="1" applyBorder="1"/>
    <xf numFmtId="2" fontId="2" fillId="0" borderId="48" xfId="1" applyNumberFormat="1" applyBorder="1"/>
    <xf numFmtId="2" fontId="2" fillId="0" borderId="18" xfId="1" applyNumberFormat="1" applyBorder="1"/>
    <xf numFmtId="2" fontId="2" fillId="0" borderId="29" xfId="1" applyNumberFormat="1" applyBorder="1"/>
    <xf numFmtId="2" fontId="2" fillId="0" borderId="30" xfId="1" applyNumberFormat="1" applyBorder="1"/>
    <xf numFmtId="2" fontId="2" fillId="0" borderId="28" xfId="1" applyNumberFormat="1" applyBorder="1"/>
    <xf numFmtId="2" fontId="2" fillId="0" borderId="40" xfId="1" applyNumberFormat="1" applyBorder="1"/>
    <xf numFmtId="2" fontId="2" fillId="0" borderId="62" xfId="1" applyNumberFormat="1" applyBorder="1"/>
    <xf numFmtId="2" fontId="2" fillId="2" borderId="62" xfId="1" applyNumberFormat="1" applyFill="1" applyBorder="1"/>
    <xf numFmtId="2" fontId="2" fillId="0" borderId="42" xfId="1" applyNumberFormat="1" applyBorder="1"/>
    <xf numFmtId="2" fontId="2" fillId="0" borderId="3" xfId="1" applyNumberFormat="1" applyBorder="1"/>
    <xf numFmtId="0" fontId="3" fillId="10" borderId="14" xfId="1" applyFont="1" applyFill="1" applyBorder="1" applyAlignment="1">
      <alignment horizontal="center"/>
    </xf>
    <xf numFmtId="0" fontId="3" fillId="10" borderId="15" xfId="1" applyFont="1" applyFill="1" applyBorder="1" applyAlignment="1">
      <alignment horizontal="center"/>
    </xf>
    <xf numFmtId="0" fontId="3" fillId="10" borderId="16" xfId="1" applyFont="1" applyFill="1" applyBorder="1" applyAlignment="1">
      <alignment horizontal="center"/>
    </xf>
    <xf numFmtId="0" fontId="3" fillId="10" borderId="17" xfId="1" applyFont="1" applyFill="1" applyBorder="1" applyAlignment="1">
      <alignment horizontal="center"/>
    </xf>
    <xf numFmtId="0" fontId="3" fillId="10" borderId="33" xfId="1" applyFont="1" applyFill="1" applyBorder="1" applyAlignment="1">
      <alignment horizontal="center"/>
    </xf>
    <xf numFmtId="0" fontId="3" fillId="10" borderId="1" xfId="1" applyFont="1" applyFill="1" applyBorder="1" applyAlignment="1">
      <alignment horizontal="center"/>
    </xf>
    <xf numFmtId="2" fontId="2" fillId="0" borderId="20" xfId="1" applyNumberFormat="1" applyBorder="1"/>
    <xf numFmtId="2" fontId="2" fillId="0" borderId="19" xfId="1" applyNumberFormat="1" applyBorder="1"/>
    <xf numFmtId="2" fontId="2" fillId="0" borderId="34" xfId="1" applyNumberFormat="1" applyBorder="1"/>
    <xf numFmtId="2" fontId="2" fillId="0" borderId="12" xfId="1" applyNumberFormat="1" applyBorder="1"/>
    <xf numFmtId="2" fontId="2" fillId="0" borderId="36" xfId="1" applyNumberFormat="1" applyBorder="1"/>
    <xf numFmtId="2" fontId="2" fillId="0" borderId="38" xfId="1" applyNumberFormat="1" applyBorder="1"/>
    <xf numFmtId="0" fontId="20" fillId="0" borderId="1" xfId="2" applyFont="1" applyBorder="1" applyAlignment="1">
      <alignment horizontal="center"/>
    </xf>
    <xf numFmtId="0" fontId="20" fillId="0" borderId="17" xfId="2" applyFont="1" applyBorder="1" applyAlignment="1">
      <alignment horizontal="center"/>
    </xf>
    <xf numFmtId="0" fontId="20" fillId="0" borderId="33" xfId="2" applyFont="1" applyBorder="1" applyAlignment="1">
      <alignment horizontal="center"/>
    </xf>
    <xf numFmtId="0" fontId="13" fillId="0" borderId="26" xfId="2" applyBorder="1" applyAlignment="1">
      <alignment horizontal="center"/>
    </xf>
    <xf numFmtId="0" fontId="13" fillId="0" borderId="19" xfId="2" applyBorder="1"/>
    <xf numFmtId="0" fontId="13" fillId="0" borderId="26" xfId="2" applyBorder="1"/>
    <xf numFmtId="0" fontId="13" fillId="0" borderId="23" xfId="2" applyBorder="1" applyAlignment="1">
      <alignment horizontal="center"/>
    </xf>
    <xf numFmtId="0" fontId="13" fillId="0" borderId="24" xfId="2" applyBorder="1"/>
    <xf numFmtId="0" fontId="13" fillId="0" borderId="23" xfId="2" applyBorder="1"/>
    <xf numFmtId="0" fontId="21" fillId="0" borderId="44" xfId="2" applyFont="1" applyBorder="1" applyAlignment="1">
      <alignment horizontal="centerContinuous"/>
    </xf>
    <xf numFmtId="0" fontId="13" fillId="0" borderId="28" xfId="2" applyBorder="1" applyAlignment="1">
      <alignment horizontal="center"/>
    </xf>
    <xf numFmtId="0" fontId="13" fillId="0" borderId="29" xfId="2" applyBorder="1"/>
    <xf numFmtId="0" fontId="13" fillId="0" borderId="28" xfId="2" applyBorder="1"/>
    <xf numFmtId="0" fontId="20" fillId="2" borderId="1" xfId="2" applyFont="1" applyFill="1" applyBorder="1"/>
    <xf numFmtId="0" fontId="13" fillId="0" borderId="5" xfId="2" applyBorder="1"/>
    <xf numFmtId="0" fontId="20" fillId="0" borderId="14" xfId="2" applyFont="1" applyBorder="1" applyAlignment="1">
      <alignment horizontal="center"/>
    </xf>
    <xf numFmtId="0" fontId="13" fillId="0" borderId="35" xfId="2" applyBorder="1"/>
    <xf numFmtId="0" fontId="13" fillId="0" borderId="39" xfId="2" applyBorder="1"/>
    <xf numFmtId="0" fontId="20" fillId="0" borderId="0" xfId="2" applyFont="1"/>
    <xf numFmtId="0" fontId="21" fillId="0" borderId="44" xfId="2" applyFont="1" applyBorder="1" applyAlignment="1">
      <alignment horizontal="center"/>
    </xf>
    <xf numFmtId="0" fontId="20" fillId="2" borderId="0" xfId="2" applyFont="1" applyFill="1"/>
    <xf numFmtId="0" fontId="20" fillId="0" borderId="12" xfId="2" applyFont="1" applyBorder="1" applyAlignment="1">
      <alignment horizontal="center"/>
    </xf>
    <xf numFmtId="0" fontId="13" fillId="0" borderId="12" xfId="2" applyBorder="1" applyAlignment="1">
      <alignment horizontal="center"/>
    </xf>
    <xf numFmtId="0" fontId="13" fillId="0" borderId="12" xfId="2" applyBorder="1"/>
    <xf numFmtId="0" fontId="20" fillId="0" borderId="0" xfId="2" applyFont="1" applyAlignment="1">
      <alignment horizontal="right"/>
    </xf>
    <xf numFmtId="10" fontId="13" fillId="0" borderId="0" xfId="2" applyNumberFormat="1"/>
    <xf numFmtId="0" fontId="13" fillId="0" borderId="0" xfId="2" applyAlignment="1">
      <alignment horizontal="center"/>
    </xf>
    <xf numFmtId="0" fontId="20" fillId="0" borderId="0" xfId="2" applyFont="1" applyAlignment="1">
      <alignment horizontal="center"/>
    </xf>
    <xf numFmtId="164" fontId="13" fillId="0" borderId="12" xfId="2" applyNumberFormat="1" applyBorder="1" applyAlignment="1">
      <alignment horizontal="center"/>
    </xf>
    <xf numFmtId="0" fontId="2" fillId="0" borderId="18" xfId="1" applyBorder="1" applyAlignment="1">
      <alignment horizontal="center"/>
    </xf>
    <xf numFmtId="164" fontId="2" fillId="0" borderId="49" xfId="1" applyNumberFormat="1" applyBorder="1"/>
    <xf numFmtId="0" fontId="2" fillId="0" borderId="63" xfId="1" applyBorder="1"/>
    <xf numFmtId="165" fontId="2" fillId="11" borderId="59" xfId="1" applyNumberFormat="1" applyFill="1" applyBorder="1"/>
    <xf numFmtId="165" fontId="2" fillId="11" borderId="6" xfId="1" applyNumberFormat="1" applyFill="1" applyBorder="1"/>
    <xf numFmtId="0" fontId="2" fillId="11" borderId="7" xfId="1" applyFill="1" applyBorder="1"/>
    <xf numFmtId="165" fontId="2" fillId="11" borderId="8" xfId="1" applyNumberFormat="1" applyFill="1" applyBorder="1"/>
    <xf numFmtId="0" fontId="2" fillId="11" borderId="9" xfId="1" applyFill="1" applyBorder="1"/>
    <xf numFmtId="0" fontId="2" fillId="6" borderId="9" xfId="1" applyFill="1" applyBorder="1"/>
    <xf numFmtId="0" fontId="2" fillId="6" borderId="4" xfId="1" applyFill="1" applyBorder="1"/>
    <xf numFmtId="165" fontId="2" fillId="11" borderId="0" xfId="1" applyNumberFormat="1" applyFill="1"/>
    <xf numFmtId="165" fontId="2" fillId="11" borderId="10" xfId="1" applyNumberFormat="1" applyFill="1" applyBorder="1"/>
    <xf numFmtId="165" fontId="2" fillId="11" borderId="5" xfId="1" applyNumberFormat="1" applyFill="1" applyBorder="1"/>
    <xf numFmtId="0" fontId="2" fillId="11" borderId="4" xfId="1" applyFill="1" applyBorder="1"/>
    <xf numFmtId="0" fontId="2" fillId="6" borderId="0" xfId="1" applyFill="1"/>
    <xf numFmtId="0" fontId="2" fillId="6" borderId="5" xfId="1" applyFill="1" applyBorder="1"/>
    <xf numFmtId="166" fontId="2" fillId="0" borderId="26" xfId="1" applyNumberFormat="1" applyBorder="1"/>
    <xf numFmtId="166" fontId="2" fillId="0" borderId="23" xfId="1" applyNumberFormat="1" applyBorder="1"/>
    <xf numFmtId="166" fontId="2" fillId="0" borderId="28" xfId="1" applyNumberFormat="1" applyBorder="1"/>
    <xf numFmtId="166" fontId="12" fillId="2" borderId="1" xfId="1" applyNumberFormat="1" applyFont="1" applyFill="1" applyBorder="1"/>
    <xf numFmtId="0" fontId="20" fillId="2" borderId="12" xfId="2" applyFont="1" applyFill="1" applyBorder="1"/>
    <xf numFmtId="165" fontId="2" fillId="0" borderId="59" xfId="1" applyNumberFormat="1" applyBorder="1"/>
    <xf numFmtId="165" fontId="2" fillId="0" borderId="6" xfId="1" applyNumberFormat="1" applyBorder="1"/>
    <xf numFmtId="0" fontId="2" fillId="0" borderId="7" xfId="1" applyBorder="1"/>
    <xf numFmtId="165" fontId="2" fillId="0" borderId="8" xfId="1" applyNumberFormat="1" applyBorder="1"/>
    <xf numFmtId="0" fontId="2" fillId="0" borderId="9" xfId="1" applyBorder="1"/>
    <xf numFmtId="165" fontId="2" fillId="0" borderId="10" xfId="1" applyNumberFormat="1" applyBorder="1"/>
    <xf numFmtId="165" fontId="2" fillId="0" borderId="5" xfId="1" applyNumberFormat="1" applyBorder="1"/>
    <xf numFmtId="0" fontId="2" fillId="0" borderId="4" xfId="1" applyBorder="1"/>
    <xf numFmtId="165" fontId="2" fillId="0" borderId="0" xfId="1" applyNumberFormat="1"/>
    <xf numFmtId="0" fontId="13" fillId="11" borderId="12" xfId="2" applyFill="1" applyBorder="1"/>
    <xf numFmtId="17" fontId="0" fillId="0" borderId="0" xfId="0" applyNumberFormat="1"/>
    <xf numFmtId="4" fontId="0" fillId="0" borderId="0" xfId="0" applyNumberFormat="1"/>
    <xf numFmtId="0" fontId="23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2" fillId="0" borderId="0" xfId="0" applyFont="1" applyAlignment="1">
      <alignment horizontal="center"/>
    </xf>
    <xf numFmtId="0" fontId="24" fillId="0" borderId="0" xfId="2" applyFont="1"/>
    <xf numFmtId="0" fontId="0" fillId="0" borderId="5" xfId="0" applyBorder="1"/>
    <xf numFmtId="0" fontId="25" fillId="0" borderId="44" xfId="0" applyFont="1" applyBorder="1" applyAlignment="1">
      <alignment horizontal="center"/>
    </xf>
    <xf numFmtId="0" fontId="25" fillId="0" borderId="44" xfId="0" applyFont="1" applyBorder="1" applyAlignment="1">
      <alignment horizontal="centerContinuous"/>
    </xf>
    <xf numFmtId="0" fontId="0" fillId="2" borderId="0" xfId="0" applyFill="1"/>
    <xf numFmtId="0" fontId="0" fillId="2" borderId="5" xfId="0" applyFill="1" applyBorder="1"/>
    <xf numFmtId="0" fontId="1" fillId="0" borderId="1" xfId="1" applyFont="1" applyBorder="1"/>
    <xf numFmtId="0" fontId="12" fillId="0" borderId="5" xfId="1" applyFont="1" applyBorder="1" applyAlignment="1">
      <alignment horizontal="center"/>
    </xf>
    <xf numFmtId="0" fontId="0" fillId="0" borderId="0" xfId="0" applyAlignment="1">
      <alignment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vertical="center"/>
    </xf>
    <xf numFmtId="0" fontId="8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0" fontId="3" fillId="0" borderId="60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15" fillId="0" borderId="60" xfId="1" applyFont="1" applyBorder="1" applyAlignment="1">
      <alignment horizontal="center"/>
    </xf>
    <xf numFmtId="0" fontId="15" fillId="0" borderId="11" xfId="1" applyFont="1" applyBorder="1" applyAlignment="1">
      <alignment horizontal="center"/>
    </xf>
    <xf numFmtId="0" fontId="15" fillId="0" borderId="2" xfId="1" applyFont="1" applyBorder="1" applyAlignment="1">
      <alignment horizontal="center"/>
    </xf>
    <xf numFmtId="0" fontId="18" fillId="0" borderId="14" xfId="1" applyFont="1" applyBorder="1" applyAlignment="1">
      <alignment horizontal="center"/>
    </xf>
    <xf numFmtId="0" fontId="18" fillId="0" borderId="15" xfId="1" applyFont="1" applyBorder="1" applyAlignment="1">
      <alignment horizontal="center"/>
    </xf>
    <xf numFmtId="0" fontId="18" fillId="0" borderId="16" xfId="1" applyFont="1" applyBorder="1" applyAlignment="1">
      <alignment horizontal="center"/>
    </xf>
    <xf numFmtId="0" fontId="2" fillId="0" borderId="60" xfId="1" applyBorder="1" applyAlignment="1">
      <alignment horizontal="left"/>
    </xf>
    <xf numFmtId="0" fontId="2" fillId="0" borderId="2" xfId="1" applyBorder="1" applyAlignment="1">
      <alignment horizontal="left"/>
    </xf>
    <xf numFmtId="0" fontId="2" fillId="0" borderId="49" xfId="1" applyBorder="1" applyAlignment="1">
      <alignment horizontal="left"/>
    </xf>
    <xf numFmtId="0" fontId="2" fillId="0" borderId="46" xfId="1" applyBorder="1" applyAlignment="1">
      <alignment horizontal="left"/>
    </xf>
    <xf numFmtId="0" fontId="2" fillId="0" borderId="48" xfId="1" applyBorder="1" applyAlignment="1">
      <alignment horizontal="left"/>
    </xf>
    <xf numFmtId="0" fontId="2" fillId="0" borderId="29" xfId="1" applyBorder="1" applyAlignment="1">
      <alignment horizontal="left"/>
    </xf>
    <xf numFmtId="0" fontId="2" fillId="0" borderId="30" xfId="1" applyBorder="1" applyAlignment="1">
      <alignment horizontal="left"/>
    </xf>
    <xf numFmtId="0" fontId="2" fillId="0" borderId="31" xfId="1" applyBorder="1" applyAlignment="1">
      <alignment horizontal="left"/>
    </xf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5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Exam Marks % vs. Absent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4436942257217849"/>
                  <c:y val="-0.38253845599650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14-42D3-B9DD-AA255A15D796}"/>
            </c:ext>
          </c:extLst>
        </c:ser>
        <c:ser>
          <c:idx val="1"/>
          <c:order val="1"/>
          <c:tx>
            <c:v>Test Rows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55.407960199004968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14-42D3-B9DD-AA255A15D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046576"/>
        <c:axId val="1739251056"/>
      </c:scatterChart>
      <c:valAx>
        <c:axId val="1895046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251056"/>
        <c:crosses val="autoZero"/>
        <c:crossBetween val="midCat"/>
      </c:valAx>
      <c:valAx>
        <c:axId val="173925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Exam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04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'K-NN (2)'!$B$2:$B$6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 (2)'!$C$2:$C$6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7B-4441-9CD5-2614AE3CC548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'K-NN (2)'!$B$7:$B$11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 (2)'!$C$7:$C$11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7B-4441-9CD5-2614AE3CC548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'K-NN (2)'!$B$12:$B$16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 (2)'!$C$12:$C$16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7B-4441-9CD5-2614AE3CC548}"/>
            </c:ext>
          </c:extLst>
        </c:ser>
        <c:ser>
          <c:idx val="3"/>
          <c:order val="3"/>
          <c:tx>
            <c:v>Test Row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'K-NN (2)'!$J$3</c:f>
              <c:numCache>
                <c:formatCode>General</c:formatCode>
                <c:ptCount val="1"/>
                <c:pt idx="0">
                  <c:v>6.3</c:v>
                </c:pt>
              </c:numCache>
            </c:numRef>
          </c:xVal>
          <c:yVal>
            <c:numRef>
              <c:f>'K-NN (2)'!$K$3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7B-4441-9CD5-2614AE3CC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778767"/>
        <c:axId val="1609121647"/>
      </c:scatterChart>
      <c:valAx>
        <c:axId val="54778767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Sepal_Length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21647"/>
        <c:crosses val="autoZero"/>
        <c:crossBetween val="midCat"/>
      </c:valAx>
      <c:valAx>
        <c:axId val="1609121647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Sepal_Width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78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108926</xdr:colOff>
      <xdr:row>0</xdr:row>
      <xdr:rowOff>12886</xdr:rowOff>
    </xdr:from>
    <xdr:to>
      <xdr:col>13</xdr:col>
      <xdr:colOff>328560</xdr:colOff>
      <xdr:row>5</xdr:row>
      <xdr:rowOff>169847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6126" y="12886"/>
          <a:ext cx="3877234" cy="1018352"/>
        </a:xfrm>
        <a:prstGeom prst="rect">
          <a:avLst/>
        </a:prstGeom>
      </xdr:spPr>
    </xdr:pic>
    <xdr:clientData/>
  </xdr:twoCellAnchor>
  <xdr:twoCellAnchor>
    <xdr:from>
      <xdr:col>7</xdr:col>
      <xdr:colOff>182881</xdr:colOff>
      <xdr:row>11</xdr:row>
      <xdr:rowOff>26946</xdr:rowOff>
    </xdr:from>
    <xdr:to>
      <xdr:col>14</xdr:col>
      <xdr:colOff>487681</xdr:colOff>
      <xdr:row>27</xdr:row>
      <xdr:rowOff>13694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EA70EE-7B4F-BF40-1A76-276128D61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126022</xdr:colOff>
      <xdr:row>4</xdr:row>
      <xdr:rowOff>8792</xdr:rowOff>
    </xdr:from>
    <xdr:to>
      <xdr:col>16</xdr:col>
      <xdr:colOff>427892</xdr:colOff>
      <xdr:row>22</xdr:row>
      <xdr:rowOff>123093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8FC5BD-68ED-8120-0EEB-A24F999A4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42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41">
      <calculatedColumnFormula>C2-_xlfn.FORECAST.ETS.CONFINT(A2,$B$2:$B$17,$A$2:$A$17,0.95,1,1)</calculatedColumnFormula>
    </tableColumn>
    <tableColumn id="5" xr3:uid="{62F58AD9-1FC9-46C8-B4E7-2231918EC1E4}" name="Upper Confidence Bound(Sales)" dataDxfId="40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38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3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36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35"/>
    <tableColumn id="2" xr3:uid="{D910A9B9-D427-48EA-AB9E-200D7BB66C1E}" name="sepal_length" dataDxfId="34"/>
    <tableColumn id="3" xr3:uid="{039CAD4E-A07E-4F03-9810-EAAE56003B4E}" name="sepal_width" dataDxfId="33"/>
    <tableColumn id="4" xr3:uid="{312E3EBE-2568-4DC8-AE77-AC20D8199BC2}" name="petal_length" dataDxfId="32"/>
    <tableColumn id="5" xr3:uid="{3B818CF0-A6EC-4507-82CE-B4C0F12048CA}" name="petal_width" dataDxfId="31"/>
    <tableColumn id="6" xr3:uid="{9CB5291D-0B1B-49D9-B4D6-537AD2F558ED}" name="species" dataDxfId="30"/>
    <tableColumn id="7" xr3:uid="{BF7FDB39-9FB3-4F09-A7F3-11EB71B3910A}" name="Euclidean_x000a_Distance" dataDxfId="29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28">
      <calculatedColumnFormula>RANK(Table1[[#This Row],[Euclidean
Distance]],Table1[Euclidean
Distance],1)</calculatedColumnFormula>
    </tableColumn>
    <tableColumn id="9" xr3:uid="{BA65F439-C13B-4C8C-909A-06FC767773EA}" name="Manhattan_x000a_Distance" dataDxfId="27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26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53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52"/>
    <tableColumn id="2" xr3:uid="{A75179BD-7A57-4CAB-8BD0-BC07EBD90770}" name="sepal_length" dataDxfId="51"/>
    <tableColumn id="3" xr3:uid="{454D6FF2-D615-4F5D-B99E-C0409BA822D1}" name="sepal_width" dataDxfId="50"/>
    <tableColumn id="4" xr3:uid="{1C52C729-9E7A-4A1E-A720-BA60A2211EE2}" name="petal_length" dataDxfId="49"/>
    <tableColumn id="5" xr3:uid="{F2420024-0AFA-4949-83BD-9A17B7B9A955}" name="petal_width" dataDxfId="48"/>
    <tableColumn id="6" xr3:uid="{4D8A186D-14A0-4FA1-BC1E-C6BDE3530FC7}" name="species" dataDxfId="47"/>
    <tableColumn id="7" xr3:uid="{016AB6AE-A903-4DCC-ACFF-00A7D3E8B0FB}" name="Euclidean_x000a_Distance" dataDxfId="46">
      <calculatedColumnFormula>SQRT((Table14[[#This Row],[sepal_length]]-$L$4)^2+(Table14[[#This Row],[sepal_width]]-$M$4)^2+(Table14[[#This Row],[petal_length]]-$N$4)^2+(Table14[[#This Row],[petal_width]]-$O$4)^2)</calculatedColumnFormula>
    </tableColumn>
    <tableColumn id="8" xr3:uid="{51B3085D-0C53-4B37-AB90-C08C6402F3ED}" name="Rank" dataDxfId="45">
      <calculatedColumnFormula>RANK(Table14[[#This Row],[Euclidean
Distance]],Table14[Euclidean
Distance],1)</calculatedColumnFormula>
    </tableColumn>
    <tableColumn id="9" xr3:uid="{CC0342BF-290F-4B65-83F2-36DE7E759A31}" name="Manhattan_x000a_Distance" dataDxfId="44">
      <calculatedColumnFormula>ABS(Table14[[#This Row],[sepal_length]]-$L$4)+ABS(Table14[[#This Row],[sepal_width]]-$M$4)+ABS(Table14[[#This Row],[petal_length]]-$N$4)+ABS(Table14[[#This Row],[petal_width]]-$O$4)</calculatedColumnFormula>
    </tableColumn>
    <tableColumn id="10" xr3:uid="{033147C6-EEFE-4D19-8C98-ECC35D33375D}" name="Rank2" dataDxfId="43">
      <calculatedColumnFormula>RANK(Table14[[#This Row],[Manhattan
Distance]],Table14[Manhattan
Distance],1)</calculatedColumnFormula>
    </tableColumn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25" totalsRowDxfId="22" headerRowBorderDxfId="24" tableBorderDxfId="23">
  <tableColumns count="7">
    <tableColumn id="1" xr3:uid="{27E9F5C9-0D3F-46E4-908D-15F1673D4826}" name="Distance" totalsRowLabel="Total" dataDxfId="21"/>
    <tableColumn id="2" xr3:uid="{972BA92F-997F-4E19-B0CF-4328F9D6CB72}" name="BA" dataDxfId="20"/>
    <tableColumn id="3" xr3:uid="{53FBB5C6-08DB-4CA1-90AA-CC856F1075E9}" name="FI" dataDxfId="19"/>
    <tableColumn id="4" xr3:uid="{7C7DEC26-6BB1-45C5-972A-CAE95A8CD19D}" name="MI" dataDxfId="18"/>
    <tableColumn id="5" xr3:uid="{88E30472-FBE0-46BB-9074-9881AD323715}" name="NA" dataDxfId="17"/>
    <tableColumn id="6" xr3:uid="{B80765EA-F69C-4A48-9D3A-1BBE1563A6DE}" name="RM" dataDxfId="16"/>
    <tableColumn id="7" xr3:uid="{BFB6640A-C3E5-427D-8F35-B3D3532CE630}" name="TO" totalsRowFunction="sum" dataDxfId="15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296" t="s">
        <v>220</v>
      </c>
      <c r="C30" s="296"/>
      <c r="D30" s="296"/>
      <c r="E30" s="296"/>
      <c r="F30" s="296"/>
      <c r="G30" s="296"/>
      <c r="H30" s="296"/>
      <c r="I30" s="296"/>
      <c r="J30" s="296"/>
      <c r="K30" s="296"/>
      <c r="L30" s="296"/>
      <c r="M30" s="285"/>
      <c r="N30" s="285"/>
      <c r="O30" s="285"/>
    </row>
    <row r="31" spans="1:15">
      <c r="B31" s="296"/>
      <c r="C31" s="296"/>
      <c r="D31" s="296"/>
      <c r="E31" s="296"/>
      <c r="F31" s="296"/>
      <c r="G31" s="296"/>
      <c r="H31" s="296"/>
      <c r="I31" s="296"/>
      <c r="J31" s="296"/>
      <c r="K31" s="296"/>
      <c r="L31" s="296"/>
      <c r="M31" s="285"/>
      <c r="N31" s="285"/>
      <c r="O31" s="285"/>
    </row>
    <row r="33" spans="2:12" ht="18">
      <c r="B33" s="284" t="s">
        <v>221</v>
      </c>
    </row>
    <row r="34" spans="2:12">
      <c r="B34" s="298" t="s">
        <v>222</v>
      </c>
      <c r="C34" s="298"/>
      <c r="D34" s="298"/>
      <c r="E34" s="298"/>
      <c r="F34" s="298"/>
      <c r="G34" s="298"/>
      <c r="H34" s="298"/>
      <c r="I34" s="298"/>
      <c r="J34" s="298"/>
      <c r="K34" s="298"/>
    </row>
    <row r="36" spans="2:12">
      <c r="B36" s="297" t="s">
        <v>223</v>
      </c>
      <c r="C36" s="297"/>
      <c r="D36" s="297"/>
      <c r="E36" s="297"/>
      <c r="F36" s="297"/>
      <c r="G36" s="297"/>
      <c r="H36" s="297"/>
      <c r="I36" s="297"/>
      <c r="J36" s="297"/>
      <c r="K36" s="297"/>
      <c r="L36" s="297"/>
    </row>
    <row r="37" spans="2:12">
      <c r="B37" s="297"/>
      <c r="C37" s="297"/>
      <c r="D37" s="297"/>
      <c r="E37" s="297"/>
      <c r="F37" s="297"/>
      <c r="G37" s="297"/>
      <c r="H37" s="297"/>
      <c r="I37" s="297"/>
      <c r="J37" s="297"/>
      <c r="K37" s="297"/>
      <c r="L37" s="297"/>
    </row>
    <row r="39" spans="2:12">
      <c r="B39" s="297" t="s">
        <v>224</v>
      </c>
      <c r="C39" s="297"/>
      <c r="D39" s="297"/>
      <c r="E39" s="297"/>
      <c r="F39" s="297"/>
      <c r="G39" s="297"/>
      <c r="H39" s="297"/>
      <c r="I39" s="297"/>
      <c r="J39" s="297"/>
      <c r="K39" s="297"/>
    </row>
    <row r="40" spans="2:12">
      <c r="B40" s="297"/>
      <c r="C40" s="297"/>
      <c r="D40" s="297"/>
      <c r="E40" s="297"/>
      <c r="F40" s="297"/>
      <c r="G40" s="297"/>
      <c r="H40" s="297"/>
      <c r="I40" s="297"/>
      <c r="J40" s="297"/>
      <c r="K40" s="297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opLeftCell="A2" zoomScale="150" zoomScaleNormal="150" workbookViewId="0">
      <selection activeCell="M8" sqref="M8:M9"/>
    </sheetView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288">
        <f t="shared" ref="C11:G11" si="3">SUM(C4:C10)</f>
        <v>57</v>
      </c>
      <c r="D11" s="288">
        <f t="shared" si="3"/>
        <v>511</v>
      </c>
      <c r="E11" s="288">
        <f t="shared" si="3"/>
        <v>3745</v>
      </c>
      <c r="F11" s="288">
        <f t="shared" si="3"/>
        <v>579</v>
      </c>
      <c r="G11" s="288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56">
        <f>(B13*E11-C11*D11)/SQRT((B13*F11-C11^2)*(B13*G11-D11^2))</f>
        <v>-0.94421517068791783</v>
      </c>
      <c r="E14" s="244" t="s">
        <v>190</v>
      </c>
      <c r="F14" s="244">
        <v>10</v>
      </c>
      <c r="G14" s="245">
        <f>$B$19+$B$20*F14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$B$19+$B$20*F15</f>
        <v>62.651741293532332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55.407960199004968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56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zoomScale="120" zoomScaleNormal="120" workbookViewId="0">
      <selection activeCell="G8" sqref="G8"/>
    </sheetView>
  </sheetViews>
  <sheetFormatPr defaultRowHeight="13.8"/>
  <cols>
    <col min="1" max="8" width="8.88671875" style="56"/>
    <col min="9" max="9" width="16.77734375" style="56" bestFit="1" customWidth="1"/>
    <col min="10" max="10" width="12.6640625" style="56" bestFit="1" customWidth="1"/>
    <col min="11" max="11" width="13.21875" style="56" bestFit="1" customWidth="1"/>
    <col min="12" max="12" width="12.6640625" style="56" bestFit="1" customWidth="1"/>
    <col min="13" max="13" width="12.109375" style="56" bestFit="1" customWidth="1"/>
    <col min="14" max="14" width="13" style="56" bestFit="1" customWidth="1"/>
    <col min="15" max="15" width="12.109375" style="56" bestFit="1" customWidth="1"/>
    <col min="16" max="16" width="12.6640625" style="56" bestFit="1" customWidth="1"/>
    <col min="17" max="17" width="12.2187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30">
        <f t="shared" ref="F4:F7" si="0">$J$18+$J$19*C4+$J$20*D4</f>
        <v>584.20852829522391</v>
      </c>
      <c r="G4" s="227">
        <f t="shared" ref="G4:G7" si="1">(E4-F4)^2</f>
        <v>201.88227631617858</v>
      </c>
      <c r="I4" s="291" t="s">
        <v>158</v>
      </c>
      <c r="J4" s="291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30">
        <f t="shared" si="0"/>
        <v>523.08157499779293</v>
      </c>
      <c r="G5" s="227">
        <f t="shared" si="1"/>
        <v>3.6803544890932072</v>
      </c>
      <c r="I5" t="s">
        <v>160</v>
      </c>
      <c r="J5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30">
        <f t="shared" si="0"/>
        <v>660.08960889909076</v>
      </c>
      <c r="G6" s="227">
        <f t="shared" si="1"/>
        <v>98.215851772980997</v>
      </c>
      <c r="I6" t="s">
        <v>162</v>
      </c>
      <c r="J6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34">
        <f t="shared" si="0"/>
        <v>482.25655513375125</v>
      </c>
      <c r="G7" s="227">
        <f t="shared" si="1"/>
        <v>59.960938396634141</v>
      </c>
      <c r="I7" t="s">
        <v>164</v>
      </c>
      <c r="J7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t="s">
        <v>165</v>
      </c>
      <c r="J8">
        <v>14.009087214635695</v>
      </c>
      <c r="K8"/>
      <c r="L8"/>
      <c r="M8"/>
      <c r="N8"/>
      <c r="O8"/>
      <c r="P8"/>
      <c r="Q8"/>
    </row>
    <row r="9" spans="2:17" ht="15" thickBot="1">
      <c r="I9" s="289" t="s">
        <v>166</v>
      </c>
      <c r="J9" s="289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290"/>
      <c r="J12" s="290" t="s">
        <v>168</v>
      </c>
      <c r="K12" s="290" t="s">
        <v>169</v>
      </c>
      <c r="L12" s="290" t="s">
        <v>170</v>
      </c>
      <c r="M12" s="290" t="s">
        <v>171</v>
      </c>
      <c r="N12" s="290" t="s">
        <v>172</v>
      </c>
      <c r="O12"/>
      <c r="P12"/>
      <c r="Q12"/>
    </row>
    <row r="13" spans="2:17" ht="14.4">
      <c r="I13" t="s">
        <v>173</v>
      </c>
      <c r="J13">
        <v>2</v>
      </c>
      <c r="K13">
        <v>18027.49095082546</v>
      </c>
      <c r="L13">
        <v>9013.7454754127302</v>
      </c>
      <c r="M13">
        <v>45.928854350588743</v>
      </c>
      <c r="N13">
        <v>2.1308851746717622E-2</v>
      </c>
      <c r="O13"/>
      <c r="P13"/>
      <c r="Q13"/>
    </row>
    <row r="14" spans="2:17" ht="14.4">
      <c r="I14" t="s">
        <v>174</v>
      </c>
      <c r="J14">
        <v>2</v>
      </c>
      <c r="K14" s="292">
        <v>392.50904917453863</v>
      </c>
      <c r="L14">
        <v>196.25452458726932</v>
      </c>
      <c r="M14"/>
      <c r="N14"/>
      <c r="O14"/>
      <c r="P14"/>
      <c r="Q14"/>
    </row>
    <row r="15" spans="2:17" ht="15" thickBot="1">
      <c r="I15" s="289" t="s">
        <v>59</v>
      </c>
      <c r="J15" s="289">
        <v>4</v>
      </c>
      <c r="K15" s="289">
        <v>18420</v>
      </c>
      <c r="L15" s="289"/>
      <c r="M15" s="289"/>
      <c r="N15" s="289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290"/>
      <c r="J17" s="290" t="s">
        <v>175</v>
      </c>
      <c r="K17" s="290" t="s">
        <v>165</v>
      </c>
      <c r="L17" s="290" t="s">
        <v>176</v>
      </c>
      <c r="M17" s="290" t="s">
        <v>177</v>
      </c>
      <c r="N17" s="290" t="s">
        <v>178</v>
      </c>
      <c r="O17" s="290" t="s">
        <v>179</v>
      </c>
      <c r="P17" s="290" t="s">
        <v>180</v>
      </c>
      <c r="Q17" s="290" t="s">
        <v>181</v>
      </c>
    </row>
    <row r="18" spans="9:17" ht="14.4">
      <c r="I18" t="s">
        <v>182</v>
      </c>
      <c r="J18" s="292">
        <v>-44.81018804626126</v>
      </c>
      <c r="K18">
        <v>69.246866630890381</v>
      </c>
      <c r="L18">
        <v>-0.64710780756499753</v>
      </c>
      <c r="M18">
        <v>0.58391574508017841</v>
      </c>
      <c r="N18">
        <v>-342.75540778225883</v>
      </c>
      <c r="O18">
        <v>253.13503168973631</v>
      </c>
      <c r="P18">
        <v>-342.75540778225883</v>
      </c>
      <c r="Q18">
        <v>253.13503168973631</v>
      </c>
    </row>
    <row r="19" spans="9:17" ht="14.4">
      <c r="I19" t="s">
        <v>152</v>
      </c>
      <c r="J19" s="292">
        <v>87.640151849563026</v>
      </c>
      <c r="K19">
        <v>15.237186664924886</v>
      </c>
      <c r="L19">
        <v>5.7517279125618073</v>
      </c>
      <c r="M19">
        <v>2.8922600815111749E-2</v>
      </c>
      <c r="N19">
        <v>22.079829052021836</v>
      </c>
      <c r="O19">
        <v>153.20047464710422</v>
      </c>
      <c r="P19">
        <v>22.079829052021836</v>
      </c>
      <c r="Q19">
        <v>153.20047464710422</v>
      </c>
    </row>
    <row r="20" spans="9:17" ht="15" thickBot="1">
      <c r="I20" s="289" t="s">
        <v>153</v>
      </c>
      <c r="J20" s="293">
        <v>14.532974309172776</v>
      </c>
      <c r="K20" s="289">
        <v>2.9137375361504319</v>
      </c>
      <c r="L20" s="289">
        <v>4.9877431061870565</v>
      </c>
      <c r="M20" s="289">
        <v>3.7924876930238542E-2</v>
      </c>
      <c r="N20" s="289">
        <v>1.9961735454816427</v>
      </c>
      <c r="O20" s="289">
        <v>27.069775072863909</v>
      </c>
      <c r="P20" s="289">
        <v>1.9961735454816427</v>
      </c>
      <c r="Q20" s="289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topLeftCell="F39" zoomScale="110" zoomScaleNormal="110" workbookViewId="0">
      <selection activeCell="I60" sqref="I60"/>
    </sheetView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99" t="s">
        <v>63</v>
      </c>
      <c r="I61" s="299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14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>
      <selection activeCell="H2" sqref="H2"/>
    </sheetView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300" t="s">
        <v>76</v>
      </c>
      <c r="K1" s="300"/>
      <c r="L1" s="300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13" priority="2" bottom="1" rank="5"/>
  </conditionalFormatting>
  <conditionalFormatting sqref="H2:H16">
    <cfRule type="top10" dxfId="12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tabSelected="1" zoomScale="130" zoomScaleNormal="130" workbookViewId="0">
      <selection activeCell="K4" sqref="K4"/>
    </sheetView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300" t="s">
        <v>76</v>
      </c>
      <c r="K1" s="300"/>
      <c r="L1" s="300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>
        <f>SQRT(($J$3-B2)^2+($K$3-C2)^2)</f>
        <v>1.3</v>
      </c>
      <c r="F2" s="47">
        <f>RANK(E2,$E$2:$E$16,1)</f>
        <v>10</v>
      </c>
      <c r="G2" s="43">
        <f>ABS(B2-$J$3)+ABS(C2-$K$3)</f>
        <v>1.7000000000000002</v>
      </c>
      <c r="H2" s="45">
        <f>RANK(G2,$G$2:$G$16,1)</f>
        <v>11</v>
      </c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>
        <f t="shared" ref="E3:E16" si="0">SQRT(($J$3-B3)^2+($K$3-C3)^2)</f>
        <v>1.3999999999999995</v>
      </c>
      <c r="F3" s="54">
        <f t="shared" ref="F3:F16" si="1">RANK(E3,$E$2:$E$16,1)</f>
        <v>11</v>
      </c>
      <c r="G3" s="50">
        <f t="shared" ref="G3:G16" si="2">ABS(B3-$J$3)+ABS(C3-$K$3)</f>
        <v>1.3999999999999995</v>
      </c>
      <c r="H3" s="52">
        <f t="shared" ref="H3:H16" si="3">RANK(G3,$G$2:$G$16,1)</f>
        <v>8</v>
      </c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>
        <f t="shared" si="0"/>
        <v>1.6124515496597096</v>
      </c>
      <c r="F4" s="54">
        <f t="shared" si="1"/>
        <v>14</v>
      </c>
      <c r="G4" s="50">
        <f t="shared" si="2"/>
        <v>1.7999999999999998</v>
      </c>
      <c r="H4" s="52">
        <f t="shared" si="3"/>
        <v>12</v>
      </c>
      <c r="J4" s="1">
        <v>6.3</v>
      </c>
      <c r="K4" s="1">
        <v>3</v>
      </c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>
        <f t="shared" si="0"/>
        <v>1.7029386365926404</v>
      </c>
      <c r="F5" s="54">
        <f t="shared" si="1"/>
        <v>15</v>
      </c>
      <c r="G5" s="50">
        <f t="shared" si="2"/>
        <v>1.8000000000000003</v>
      </c>
      <c r="H5" s="52">
        <f t="shared" si="3"/>
        <v>13</v>
      </c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>
        <f t="shared" si="0"/>
        <v>1.4317821063276353</v>
      </c>
      <c r="F6" s="54">
        <f t="shared" si="1"/>
        <v>12</v>
      </c>
      <c r="G6" s="50">
        <f t="shared" si="2"/>
        <v>1.9</v>
      </c>
      <c r="H6" s="52">
        <f t="shared" si="3"/>
        <v>14</v>
      </c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>
        <f t="shared" si="0"/>
        <v>1.0630145812734648</v>
      </c>
      <c r="F7" s="54">
        <f t="shared" si="1"/>
        <v>8</v>
      </c>
      <c r="G7" s="50">
        <f t="shared" si="2"/>
        <v>1.5</v>
      </c>
      <c r="H7" s="52">
        <f t="shared" si="3"/>
        <v>9</v>
      </c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>
        <f t="shared" si="0"/>
        <v>0.28284271247461928</v>
      </c>
      <c r="F8" s="54">
        <f t="shared" si="1"/>
        <v>1</v>
      </c>
      <c r="G8" s="50">
        <f t="shared" si="2"/>
        <v>0.40000000000000036</v>
      </c>
      <c r="H8" s="52">
        <f t="shared" si="3"/>
        <v>2</v>
      </c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>
        <f t="shared" si="0"/>
        <v>0.63245553203367566</v>
      </c>
      <c r="F9" s="54">
        <f t="shared" si="1"/>
        <v>6</v>
      </c>
      <c r="G9" s="50">
        <f t="shared" si="2"/>
        <v>0.79999999999999982</v>
      </c>
      <c r="H9" s="52">
        <f t="shared" si="3"/>
        <v>6</v>
      </c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>
        <f t="shared" si="0"/>
        <v>0.29999999999999982</v>
      </c>
      <c r="F10" s="54">
        <f t="shared" si="1"/>
        <v>3</v>
      </c>
      <c r="G10" s="50">
        <f t="shared" si="2"/>
        <v>0.29999999999999982</v>
      </c>
      <c r="H10" s="52">
        <f t="shared" si="3"/>
        <v>1</v>
      </c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>
        <f t="shared" si="0"/>
        <v>1.5231546211727811</v>
      </c>
      <c r="F11" s="54">
        <f t="shared" si="1"/>
        <v>13</v>
      </c>
      <c r="G11" s="50">
        <f t="shared" si="2"/>
        <v>1.9999999999999996</v>
      </c>
      <c r="H11" s="52">
        <f t="shared" si="3"/>
        <v>15</v>
      </c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>
        <f t="shared" si="0"/>
        <v>1.0816653826391971</v>
      </c>
      <c r="F12" s="54">
        <f t="shared" si="1"/>
        <v>9</v>
      </c>
      <c r="G12" s="50">
        <f t="shared" si="2"/>
        <v>1.5000000000000004</v>
      </c>
      <c r="H12" s="52">
        <f t="shared" si="3"/>
        <v>10</v>
      </c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>
        <f t="shared" si="0"/>
        <v>0.28284271247461928</v>
      </c>
      <c r="F13" s="54">
        <f t="shared" si="1"/>
        <v>1</v>
      </c>
      <c r="G13" s="50">
        <f t="shared" si="2"/>
        <v>0.40000000000000036</v>
      </c>
      <c r="H13" s="52">
        <f t="shared" si="3"/>
        <v>2</v>
      </c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>
        <f t="shared" si="0"/>
        <v>0.31622776601683794</v>
      </c>
      <c r="F14" s="54">
        <f t="shared" si="1"/>
        <v>4</v>
      </c>
      <c r="G14" s="50">
        <f t="shared" si="2"/>
        <v>0.40000000000000036</v>
      </c>
      <c r="H14" s="52">
        <f t="shared" si="3"/>
        <v>2</v>
      </c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>
        <f t="shared" si="0"/>
        <v>0.5</v>
      </c>
      <c r="F15" s="54">
        <f t="shared" si="1"/>
        <v>5</v>
      </c>
      <c r="G15" s="50">
        <f t="shared" si="2"/>
        <v>0.5</v>
      </c>
      <c r="H15" s="52">
        <f t="shared" si="3"/>
        <v>5</v>
      </c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>
        <f t="shared" si="0"/>
        <v>0.7810249675906652</v>
      </c>
      <c r="F16" s="62">
        <f t="shared" si="1"/>
        <v>7</v>
      </c>
      <c r="G16" s="58">
        <f t="shared" si="2"/>
        <v>1.0999999999999996</v>
      </c>
      <c r="H16" s="60">
        <f t="shared" si="3"/>
        <v>7</v>
      </c>
    </row>
  </sheetData>
  <mergeCells count="1">
    <mergeCell ref="J1:L1"/>
  </mergeCells>
  <conditionalFormatting sqref="E2:E16">
    <cfRule type="top10" dxfId="11" priority="4" bottom="1" rank="5"/>
  </conditionalFormatting>
  <conditionalFormatting sqref="F2:F16">
    <cfRule type="top10" dxfId="10" priority="3" bottom="1" rank="5"/>
  </conditionalFormatting>
  <conditionalFormatting sqref="G2:G16">
    <cfRule type="top10" dxfId="9" priority="2" bottom="1" rank="5"/>
  </conditionalFormatting>
  <conditionalFormatting sqref="H2:H16">
    <cfRule type="top10" dxfId="8" priority="1" bottom="1" rank="5"/>
  </conditionalFormatting>
  <pageMargins left="0.7" right="0.7" top="0.75" bottom="0.75" header="0.3" footer="0.3"/>
  <pageSetup paperSize="9" orientation="portrait" horizontalDpi="30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295" t="s">
        <v>76</v>
      </c>
      <c r="M2" s="295"/>
      <c r="N2" s="295"/>
      <c r="O2" s="295"/>
      <c r="P2" s="295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7" priority="4" bottom="1" rank="5"/>
  </conditionalFormatting>
  <conditionalFormatting sqref="H2:H151">
    <cfRule type="top10" dxfId="6" priority="3" bottom="1" rank="5"/>
  </conditionalFormatting>
  <conditionalFormatting sqref="I2:I151">
    <cfRule type="top10" dxfId="5" priority="2" bottom="1" rank="5"/>
  </conditionalFormatting>
  <conditionalFormatting sqref="J2:J151">
    <cfRule type="top10" dxfId="4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>
      <selection activeCell="A65" sqref="A65"/>
    </sheetView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SQRT((Table14[[#This Row],[sepal_length]]-$L$4)^2+(Table14[[#This Row],[sepal_width]]-$M$4)^2+(Table14[[#This Row],[petal_length]]-$N$4)^2+(Table14[[#This Row],[petal_width]]-$O$4)^2)</f>
        <v>3.4788647573597911</v>
      </c>
      <c r="H2" s="84">
        <f>RANK(Table14[[#This Row],[Euclidean
Distance]],Table14[Euclidean
Distance],1)</f>
        <v>129</v>
      </c>
      <c r="I2" s="85">
        <f>ABS(Table14[[#This Row],[sepal_length]]-$L$4)+ABS(Table14[[#This Row],[sepal_width]]-$M$4)+ABS(Table14[[#This Row],[petal_length]]-$N$4)+ABS(Table14[[#This Row],[petal_width]]-$O$4)</f>
        <v>6.3500000000000005</v>
      </c>
      <c r="J2" s="82">
        <f>RANK(Table14[[#This Row],[Manhattan
Distance]],Table14[Manhattan
Distance],1)</f>
        <v>134</v>
      </c>
      <c r="L2" s="295" t="s">
        <v>76</v>
      </c>
      <c r="M2" s="295"/>
      <c r="N2" s="295"/>
      <c r="O2" s="295"/>
      <c r="P2" s="295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>
        <f>SQRT((Table14[[#This Row],[sepal_length]]-$L$4)^2+(Table14[[#This Row],[sepal_width]]-$M$4)^2+(Table14[[#This Row],[petal_length]]-$N$4)^2+(Table14[[#This Row],[petal_width]]-$O$4)^2)</f>
        <v>3.504639781775011</v>
      </c>
      <c r="H3" s="52">
        <f>RANK(Table14[[#This Row],[Euclidean
Distance]],Table14[Euclidean
Distance],1)</f>
        <v>132</v>
      </c>
      <c r="I3" s="101">
        <f>ABS(Table14[[#This Row],[sepal_length]]-$L$4)+ABS(Table14[[#This Row],[sepal_width]]-$M$4)+ABS(Table14[[#This Row],[petal_length]]-$N$4)+ABS(Table14[[#This Row],[petal_width]]-$O$4)</f>
        <v>6.05</v>
      </c>
      <c r="J3" s="70">
        <f>RANK(Table14[[#This Row],[Manhattan
Distance]],Table14[Manhattan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SQRT((Table14[[#This Row],[sepal_length]]-$L$4)^2+(Table14[[#This Row],[sepal_width]]-$M$4)^2+(Table14[[#This Row],[petal_length]]-$N$4)^2+(Table14[[#This Row],[petal_width]]-$O$4)^2)</f>
        <v>3.7057387927375562</v>
      </c>
      <c r="H4" s="52">
        <f>RANK(Table14[[#This Row],[Euclidean
Distance]],Table14[Euclidean
Distance],1)</f>
        <v>144</v>
      </c>
      <c r="I4" s="101">
        <f>ABS(Table14[[#This Row],[sepal_length]]-$L$4)+ABS(Table14[[#This Row],[sepal_width]]-$M$4)+ABS(Table14[[#This Row],[petal_length]]-$N$4)+ABS(Table14[[#This Row],[petal_width]]-$O$4)</f>
        <v>6.55</v>
      </c>
      <c r="J4" s="70">
        <f>RANK(Table14[[#This Row],[Manhattan
Distance]],Table14[Manhattan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294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SQRT((Table14[[#This Row],[sepal_length]]-$L$4)^2+(Table14[[#This Row],[sepal_width]]-$M$4)^2+(Table14[[#This Row],[petal_length]]-$N$4)^2+(Table14[[#This Row],[petal_width]]-$O$4)^2)</f>
        <v>3.603123644839294</v>
      </c>
      <c r="H5" s="52">
        <f>RANK(Table14[[#This Row],[Euclidean
Distance]],Table14[Euclidean
Distance],1)</f>
        <v>140</v>
      </c>
      <c r="I5" s="101">
        <f>ABS(Table14[[#This Row],[sepal_length]]-$L$4)+ABS(Table14[[#This Row],[sepal_width]]-$M$4)+ABS(Table14[[#This Row],[petal_length]]-$N$4)+ABS(Table14[[#This Row],[petal_width]]-$O$4)</f>
        <v>6.3500000000000005</v>
      </c>
      <c r="J5" s="70">
        <f>RANK(Table14[[#This Row],[Manhattan
Distance]],Table14[Manhattan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SQRT((Table14[[#This Row],[sepal_length]]-$L$4)^2+(Table14[[#This Row],[sepal_width]]-$M$4)^2+(Table14[[#This Row],[petal_length]]-$N$4)^2+(Table14[[#This Row],[petal_width]]-$O$4)^2)</f>
        <v>3.5485912697858004</v>
      </c>
      <c r="H6" s="52">
        <f>RANK(Table14[[#This Row],[Euclidean
Distance]],Table14[Euclidean
Distance],1)</f>
        <v>136</v>
      </c>
      <c r="I6" s="101">
        <f>ABS(Table14[[#This Row],[sepal_length]]-$L$4)+ABS(Table14[[#This Row],[sepal_width]]-$M$4)+ABS(Table14[[#This Row],[petal_length]]-$N$4)+ABS(Table14[[#This Row],[petal_width]]-$O$4)</f>
        <v>6.55</v>
      </c>
      <c r="J6" s="70">
        <f>RANK(Table14[[#This Row],[Manhattan
Distance]],Table14[Manhattan
Distance],1)</f>
        <v>140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SQRT((Table14[[#This Row],[sepal_length]]-$L$4)^2+(Table14[[#This Row],[sepal_width]]-$M$4)^2+(Table14[[#This Row],[petal_length]]-$N$4)^2+(Table14[[#This Row],[petal_width]]-$O$4)^2)</f>
        <v>3.1595094555959156</v>
      </c>
      <c r="H7" s="52">
        <f>RANK(Table14[[#This Row],[Euclidean
Distance]],Table14[Euclidean
Distance],1)</f>
        <v>105</v>
      </c>
      <c r="I7" s="101">
        <f>ABS(Table14[[#This Row],[sepal_length]]-$L$4)+ABS(Table14[[#This Row],[sepal_width]]-$M$4)+ABS(Table14[[#This Row],[petal_length]]-$N$4)+ABS(Table14[[#This Row],[petal_width]]-$O$4)</f>
        <v>5.9499999999999993</v>
      </c>
      <c r="J7" s="70">
        <f>RANK(Table14[[#This Row],[Manhattan
Distance]],Table14[Manhattan
Distance],1)</f>
        <v>107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SQRT((Table14[[#This Row],[sepal_length]]-$L$4)^2+(Table14[[#This Row],[sepal_width]]-$M$4)^2+(Table14[[#This Row],[petal_length]]-$N$4)^2+(Table14[[#This Row],[petal_width]]-$O$4)^2)</f>
        <v>3.6827299656640586</v>
      </c>
      <c r="H8" s="52">
        <f>RANK(Table14[[#This Row],[Euclidean
Distance]],Table14[Euclidean
Distance],1)</f>
        <v>142</v>
      </c>
      <c r="I8" s="101">
        <f>ABS(Table14[[#This Row],[sepal_length]]-$L$4)+ABS(Table14[[#This Row],[sepal_width]]-$M$4)+ABS(Table14[[#This Row],[petal_length]]-$N$4)+ABS(Table14[[#This Row],[petal_width]]-$O$4)</f>
        <v>6.65</v>
      </c>
      <c r="J8" s="70">
        <f>RANK(Table14[[#This Row],[Manhattan
Distance]],Table14[Manhattan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SQRT((Table14[[#This Row],[sepal_length]]-$L$4)^2+(Table14[[#This Row],[sepal_width]]-$M$4)^2+(Table14[[#This Row],[petal_length]]-$N$4)^2+(Table14[[#This Row],[petal_width]]-$O$4)^2)</f>
        <v>3.429650127928503</v>
      </c>
      <c r="H9" s="52">
        <f>RANK(Table14[[#This Row],[Euclidean
Distance]],Table14[Euclidean
Distance],1)</f>
        <v>121</v>
      </c>
      <c r="I9" s="101">
        <f>ABS(Table14[[#This Row],[sepal_length]]-$L$4)+ABS(Table14[[#This Row],[sepal_width]]-$M$4)+ABS(Table14[[#This Row],[petal_length]]-$N$4)+ABS(Table14[[#This Row],[petal_width]]-$O$4)</f>
        <v>6.2499999999999991</v>
      </c>
      <c r="J9" s="70">
        <f>RANK(Table14[[#This Row],[Manhattan
Distance]],Table14[Manhattan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SQRT((Table14[[#This Row],[sepal_length]]-$L$4)^2+(Table14[[#This Row],[sepal_width]]-$M$4)^2+(Table14[[#This Row],[petal_length]]-$N$4)^2+(Table14[[#This Row],[petal_width]]-$O$4)^2)</f>
        <v>3.7805422891431855</v>
      </c>
      <c r="H10" s="52">
        <f>RANK(Table14[[#This Row],[Euclidean
Distance]],Table14[Euclidean
Distance],1)</f>
        <v>145</v>
      </c>
      <c r="I10" s="101">
        <f>ABS(Table14[[#This Row],[sepal_length]]-$L$4)+ABS(Table14[[#This Row],[sepal_width]]-$M$4)+ABS(Table14[[#This Row],[petal_length]]-$N$4)+ABS(Table14[[#This Row],[petal_width]]-$O$4)</f>
        <v>6.4499999999999993</v>
      </c>
      <c r="J10" s="70">
        <f>RANK(Table14[[#This Row],[Manhattan
Distance]],Table14[Manhattan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SQRT((Table14[[#This Row],[sepal_length]]-$L$4)^2+(Table14[[#This Row],[sepal_width]]-$M$4)^2+(Table14[[#This Row],[petal_length]]-$N$4)^2+(Table14[[#This Row],[petal_width]]-$O$4)^2)</f>
        <v>3.4759890678769398</v>
      </c>
      <c r="H11" s="52">
        <f>RANK(Table14[[#This Row],[Euclidean
Distance]],Table14[Euclidean
Distance],1)</f>
        <v>126</v>
      </c>
      <c r="I11" s="101">
        <f>ABS(Table14[[#This Row],[sepal_length]]-$L$4)+ABS(Table14[[#This Row],[sepal_width]]-$M$4)+ABS(Table14[[#This Row],[petal_length]]-$N$4)+ABS(Table14[[#This Row],[petal_width]]-$O$4)</f>
        <v>6.15</v>
      </c>
      <c r="J11" s="70">
        <f>RANK(Table14[[#This Row],[Manhattan
Distance]],Table14[Manhattan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SQRT((Table14[[#This Row],[sepal_length]]-$L$4)^2+(Table14[[#This Row],[sepal_width]]-$M$4)^2+(Table14[[#This Row],[petal_length]]-$N$4)^2+(Table14[[#This Row],[petal_width]]-$O$4)^2)</f>
        <v>3.3230257296626515</v>
      </c>
      <c r="H12" s="52">
        <f>RANK(Table14[[#This Row],[Euclidean
Distance]],Table14[Euclidean
Distance],1)</f>
        <v>111</v>
      </c>
      <c r="I12" s="101">
        <f>ABS(Table14[[#This Row],[sepal_length]]-$L$4)+ABS(Table14[[#This Row],[sepal_width]]-$M$4)+ABS(Table14[[#This Row],[petal_length]]-$N$4)+ABS(Table14[[#This Row],[petal_width]]-$O$4)</f>
        <v>6.1499999999999995</v>
      </c>
      <c r="J12" s="70">
        <f>RANK(Table14[[#This Row],[Manhattan
Distance]],Table14[Manhattan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SQRT((Table14[[#This Row],[sepal_length]]-$L$4)^2+(Table14[[#This Row],[sepal_width]]-$M$4)^2+(Table14[[#This Row],[petal_length]]-$N$4)^2+(Table14[[#This Row],[petal_width]]-$O$4)^2)</f>
        <v>3.4601300553591909</v>
      </c>
      <c r="H13" s="52">
        <f>RANK(Table14[[#This Row],[Euclidean
Distance]],Table14[Euclidean
Distance],1)</f>
        <v>124</v>
      </c>
      <c r="I13" s="101">
        <f>ABS(Table14[[#This Row],[sepal_length]]-$L$4)+ABS(Table14[[#This Row],[sepal_width]]-$M$4)+ABS(Table14[[#This Row],[petal_length]]-$N$4)+ABS(Table14[[#This Row],[petal_width]]-$O$4)</f>
        <v>6.35</v>
      </c>
      <c r="J13" s="70">
        <f>RANK(Table14[[#This Row],[Manhattan
Distance]],Table14[Manhattan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SQRT((Table14[[#This Row],[sepal_length]]-$L$4)^2+(Table14[[#This Row],[sepal_width]]-$M$4)^2+(Table14[[#This Row],[petal_length]]-$N$4)^2+(Table14[[#This Row],[petal_width]]-$O$4)^2)</f>
        <v>3.5947878936037378</v>
      </c>
      <c r="H14" s="52">
        <f>RANK(Table14[[#This Row],[Euclidean
Distance]],Table14[Euclidean
Distance],1)</f>
        <v>139</v>
      </c>
      <c r="I14" s="101">
        <f>ABS(Table14[[#This Row],[sepal_length]]-$L$4)+ABS(Table14[[#This Row],[sepal_width]]-$M$4)+ABS(Table14[[#This Row],[petal_length]]-$N$4)+ABS(Table14[[#This Row],[petal_width]]-$O$4)</f>
        <v>6.25</v>
      </c>
      <c r="J14" s="70">
        <f>RANK(Table14[[#This Row],[Manhattan
Distance]],Table14[Manhattan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SQRT((Table14[[#This Row],[sepal_length]]-$L$4)^2+(Table14[[#This Row],[sepal_width]]-$M$4)^2+(Table14[[#This Row],[petal_length]]-$N$4)^2+(Table14[[#This Row],[petal_width]]-$O$4)^2)</f>
        <v>4.0966449687518685</v>
      </c>
      <c r="H15" s="52">
        <f>RANK(Table14[[#This Row],[Euclidean
Distance]],Table14[Euclidean
Distance],1)</f>
        <v>150</v>
      </c>
      <c r="I15" s="101">
        <f>ABS(Table14[[#This Row],[sepal_length]]-$L$4)+ABS(Table14[[#This Row],[sepal_width]]-$M$4)+ABS(Table14[[#This Row],[petal_length]]-$N$4)+ABS(Table14[[#This Row],[petal_width]]-$O$4)</f>
        <v>7.0500000000000007</v>
      </c>
      <c r="J15" s="70">
        <f>RANK(Table14[[#This Row],[Manhattan
Distance]],Table14[Manhattan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SQRT((Table14[[#This Row],[sepal_length]]-$L$4)^2+(Table14[[#This Row],[sepal_width]]-$M$4)^2+(Table14[[#This Row],[petal_length]]-$N$4)^2+(Table14[[#This Row],[petal_width]]-$O$4)^2)</f>
        <v>3.5316426772820599</v>
      </c>
      <c r="H16" s="52">
        <f>RANK(Table14[[#This Row],[Euclidean
Distance]],Table14[Euclidean
Distance],1)</f>
        <v>134</v>
      </c>
      <c r="I16" s="101">
        <f>ABS(Table14[[#This Row],[sepal_length]]-$L$4)+ABS(Table14[[#This Row],[sepal_width]]-$M$4)+ABS(Table14[[#This Row],[petal_length]]-$N$4)+ABS(Table14[[#This Row],[petal_width]]-$O$4)</f>
        <v>6.35</v>
      </c>
      <c r="J16" s="70">
        <f>RANK(Table14[[#This Row],[Manhattan
Distance]],Table14[Manhattan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SQRT((Table14[[#This Row],[sepal_length]]-$L$4)^2+(Table14[[#This Row],[sepal_width]]-$M$4)^2+(Table14[[#This Row],[petal_length]]-$N$4)^2+(Table14[[#This Row],[petal_width]]-$O$4)^2)</f>
        <v>3.4194297770242335</v>
      </c>
      <c r="H17" s="52">
        <f>RANK(Table14[[#This Row],[Euclidean
Distance]],Table14[Euclidean
Distance],1)</f>
        <v>120</v>
      </c>
      <c r="I17" s="101">
        <f>ABS(Table14[[#This Row],[sepal_length]]-$L$4)+ABS(Table14[[#This Row],[sepal_width]]-$M$4)+ABS(Table14[[#This Row],[petal_length]]-$N$4)+ABS(Table14[[#This Row],[petal_width]]-$O$4)</f>
        <v>6.35</v>
      </c>
      <c r="J17" s="70">
        <f>RANK(Table14[[#This Row],[Manhattan
Distance]],Table14[Manhattan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SQRT((Table14[[#This Row],[sepal_length]]-$L$4)^2+(Table14[[#This Row],[sepal_width]]-$M$4)^2+(Table14[[#This Row],[petal_length]]-$N$4)^2+(Table14[[#This Row],[petal_width]]-$O$4)^2)</f>
        <v>3.473110997362451</v>
      </c>
      <c r="H18" s="52">
        <f>RANK(Table14[[#This Row],[Euclidean
Distance]],Table14[Euclidean
Distance],1)</f>
        <v>125</v>
      </c>
      <c r="I18" s="101">
        <f>ABS(Table14[[#This Row],[sepal_length]]-$L$4)+ABS(Table14[[#This Row],[sepal_width]]-$M$4)+ABS(Table14[[#This Row],[petal_length]]-$N$4)+ABS(Table14[[#This Row],[petal_width]]-$O$4)</f>
        <v>6.35</v>
      </c>
      <c r="J18" s="70">
        <f>RANK(Table14[[#This Row],[Manhattan
Distance]],Table14[Manhattan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SQRT((Table14[[#This Row],[sepal_length]]-$L$4)^2+(Table14[[#This Row],[sepal_width]]-$M$4)^2+(Table14[[#This Row],[petal_length]]-$N$4)^2+(Table14[[#This Row],[petal_width]]-$O$4)^2)</f>
        <v>3.4427459970204017</v>
      </c>
      <c r="H19" s="52">
        <f>RANK(Table14[[#This Row],[Euclidean
Distance]],Table14[Euclidean
Distance],1)</f>
        <v>122</v>
      </c>
      <c r="I19" s="101">
        <f>ABS(Table14[[#This Row],[sepal_length]]-$L$4)+ABS(Table14[[#This Row],[sepal_width]]-$M$4)+ABS(Table14[[#This Row],[petal_length]]-$N$4)+ABS(Table14[[#This Row],[petal_width]]-$O$4)</f>
        <v>6.2500000000000009</v>
      </c>
      <c r="J19" s="70">
        <f>RANK(Table14[[#This Row],[Manhattan
Distance]],Table14[Manhattan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SQRT((Table14[[#This Row],[sepal_length]]-$L$4)^2+(Table14[[#This Row],[sepal_width]]-$M$4)^2+(Table14[[#This Row],[petal_length]]-$N$4)^2+(Table14[[#This Row],[petal_width]]-$O$4)^2)</f>
        <v>3.0499999999999994</v>
      </c>
      <c r="H20" s="52">
        <f>RANK(Table14[[#This Row],[Euclidean
Distance]],Table14[Euclidean
Distance],1)</f>
        <v>99</v>
      </c>
      <c r="I20" s="101">
        <f>ABS(Table14[[#This Row],[sepal_length]]-$L$4)+ABS(Table14[[#This Row],[sepal_width]]-$M$4)+ABS(Table14[[#This Row],[petal_length]]-$N$4)+ABS(Table14[[#This Row],[petal_width]]-$O$4)</f>
        <v>5.6499999999999995</v>
      </c>
      <c r="J20" s="70">
        <f>RANK(Table14[[#This Row],[Manhattan
Distance]],Table14[Manhattan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SQRT((Table14[[#This Row],[sepal_length]]-$L$4)^2+(Table14[[#This Row],[sepal_width]]-$M$4)^2+(Table14[[#This Row],[petal_length]]-$N$4)^2+(Table14[[#This Row],[petal_width]]-$O$4)^2)</f>
        <v>3.4441980198589044</v>
      </c>
      <c r="H21" s="52">
        <f>RANK(Table14[[#This Row],[Euclidean
Distance]],Table14[Euclidean
Distance],1)</f>
        <v>123</v>
      </c>
      <c r="I21" s="101">
        <f>ABS(Table14[[#This Row],[sepal_length]]-$L$4)+ABS(Table14[[#This Row],[sepal_width]]-$M$4)+ABS(Table14[[#This Row],[petal_length]]-$N$4)+ABS(Table14[[#This Row],[petal_width]]-$O$4)</f>
        <v>6.45</v>
      </c>
      <c r="J21" s="70">
        <f>RANK(Table14[[#This Row],[Manhattan
Distance]],Table14[Manhattan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SQRT((Table14[[#This Row],[sepal_length]]-$L$4)^2+(Table14[[#This Row],[sepal_width]]-$M$4)^2+(Table14[[#This Row],[petal_length]]-$N$4)^2+(Table14[[#This Row],[petal_width]]-$O$4)^2)</f>
        <v>3.0923292192132448</v>
      </c>
      <c r="H22" s="52">
        <f>RANK(Table14[[#This Row],[Euclidean
Distance]],Table14[Euclidean
Distance],1)</f>
        <v>102</v>
      </c>
      <c r="I22" s="101">
        <f>ABS(Table14[[#This Row],[sepal_length]]-$L$4)+ABS(Table14[[#This Row],[sepal_width]]-$M$4)+ABS(Table14[[#This Row],[petal_length]]-$N$4)+ABS(Table14[[#This Row],[petal_width]]-$O$4)</f>
        <v>5.6499999999999995</v>
      </c>
      <c r="J22" s="70">
        <f>RANK(Table14[[#This Row],[Manhattan
Distance]],Table14[Manhattan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SQRT((Table14[[#This Row],[sepal_length]]-$L$4)^2+(Table14[[#This Row],[sepal_width]]-$M$4)^2+(Table14[[#This Row],[petal_length]]-$N$4)^2+(Table14[[#This Row],[petal_width]]-$O$4)^2)</f>
        <v>3.3811980125393428</v>
      </c>
      <c r="H23" s="52">
        <f>RANK(Table14[[#This Row],[Euclidean
Distance]],Table14[Euclidean
Distance],1)</f>
        <v>115</v>
      </c>
      <c r="I23" s="101">
        <f>ABS(Table14[[#This Row],[sepal_length]]-$L$4)+ABS(Table14[[#This Row],[sepal_width]]-$M$4)+ABS(Table14[[#This Row],[petal_length]]-$N$4)+ABS(Table14[[#This Row],[petal_width]]-$O$4)</f>
        <v>6.25</v>
      </c>
      <c r="J23" s="70">
        <f>RANK(Table14[[#This Row],[Manhattan
Distance]],Table14[Manhattan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SQRT((Table14[[#This Row],[sepal_length]]-$L$4)^2+(Table14[[#This Row],[sepal_width]]-$M$4)^2+(Table14[[#This Row],[petal_length]]-$N$4)^2+(Table14[[#This Row],[petal_width]]-$O$4)^2)</f>
        <v>4.0537020117418594</v>
      </c>
      <c r="H24" s="52">
        <f>RANK(Table14[[#This Row],[Euclidean
Distance]],Table14[Euclidean
Distance],1)</f>
        <v>149</v>
      </c>
      <c r="I24" s="101">
        <f>ABS(Table14[[#This Row],[sepal_length]]-$L$4)+ABS(Table14[[#This Row],[sepal_width]]-$M$4)+ABS(Table14[[#This Row],[petal_length]]-$N$4)+ABS(Table14[[#This Row],[petal_width]]-$O$4)</f>
        <v>7.3500000000000005</v>
      </c>
      <c r="J24" s="70">
        <f>RANK(Table14[[#This Row],[Manhattan
Distance]],Table14[Manhattan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SQRT((Table14[[#This Row],[sepal_length]]-$L$4)^2+(Table14[[#This Row],[sepal_width]]-$M$4)^2+(Table14[[#This Row],[petal_length]]-$N$4)^2+(Table14[[#This Row],[petal_width]]-$O$4)^2)</f>
        <v>3.1020154738492196</v>
      </c>
      <c r="H25" s="52">
        <f>RANK(Table14[[#This Row],[Euclidean
Distance]],Table14[Euclidean
Distance],1)</f>
        <v>103</v>
      </c>
      <c r="I25" s="101">
        <f>ABS(Table14[[#This Row],[sepal_length]]-$L$4)+ABS(Table14[[#This Row],[sepal_width]]-$M$4)+ABS(Table14[[#This Row],[petal_length]]-$N$4)+ABS(Table14[[#This Row],[petal_width]]-$O$4)</f>
        <v>5.55</v>
      </c>
      <c r="J25" s="70">
        <f>RANK(Table14[[#This Row],[Manhattan
Distance]],Table14[Manhattan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SQRT((Table14[[#This Row],[sepal_length]]-$L$4)^2+(Table14[[#This Row],[sepal_width]]-$M$4)^2+(Table14[[#This Row],[petal_length]]-$N$4)^2+(Table14[[#This Row],[petal_width]]-$O$4)^2)</f>
        <v>3.2499999999999996</v>
      </c>
      <c r="H26" s="52">
        <f>RANK(Table14[[#This Row],[Euclidean
Distance]],Table14[Euclidean
Distance],1)</f>
        <v>108</v>
      </c>
      <c r="I26" s="101">
        <f>ABS(Table14[[#This Row],[sepal_length]]-$L$4)+ABS(Table14[[#This Row],[sepal_width]]-$M$4)+ABS(Table14[[#This Row],[petal_length]]-$N$4)+ABS(Table14[[#This Row],[petal_width]]-$O$4)</f>
        <v>6.05</v>
      </c>
      <c r="J26" s="70">
        <f>RANK(Table14[[#This Row],[Manhattan
Distance]],Table14[Manhattan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SQRT((Table14[[#This Row],[sepal_length]]-$L$4)^2+(Table14[[#This Row],[sepal_width]]-$M$4)^2+(Table14[[#This Row],[petal_length]]-$N$4)^2+(Table14[[#This Row],[petal_width]]-$O$4)^2)</f>
        <v>3.3003787661418498</v>
      </c>
      <c r="H27" s="52">
        <f>RANK(Table14[[#This Row],[Euclidean
Distance]],Table14[Euclidean
Distance],1)</f>
        <v>110</v>
      </c>
      <c r="I27" s="101">
        <f>ABS(Table14[[#This Row],[sepal_length]]-$L$4)+ABS(Table14[[#This Row],[sepal_width]]-$M$4)+ABS(Table14[[#This Row],[petal_length]]-$N$4)+ABS(Table14[[#This Row],[petal_width]]-$O$4)</f>
        <v>5.7499999999999991</v>
      </c>
      <c r="J27" s="70">
        <f>RANK(Table14[[#This Row],[Manhattan
Distance]],Table14[Manhattan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SQRT((Table14[[#This Row],[sepal_length]]-$L$4)^2+(Table14[[#This Row],[sepal_width]]-$M$4)^2+(Table14[[#This Row],[petal_length]]-$N$4)^2+(Table14[[#This Row],[petal_width]]-$O$4)^2)</f>
        <v>3.2821486864552618</v>
      </c>
      <c r="H28" s="52">
        <f>RANK(Table14[[#This Row],[Euclidean
Distance]],Table14[Euclidean
Distance],1)</f>
        <v>109</v>
      </c>
      <c r="I28" s="101">
        <f>ABS(Table14[[#This Row],[sepal_length]]-$L$4)+ABS(Table14[[#This Row],[sepal_width]]-$M$4)+ABS(Table14[[#This Row],[petal_length]]-$N$4)+ABS(Table14[[#This Row],[petal_width]]-$O$4)</f>
        <v>5.9499999999999993</v>
      </c>
      <c r="J28" s="70">
        <f>RANK(Table14[[#This Row],[Manhattan
Distance]],Table14[Manhattan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SQRT((Table14[[#This Row],[sepal_length]]-$L$4)^2+(Table14[[#This Row],[sepal_width]]-$M$4)^2+(Table14[[#This Row],[petal_length]]-$N$4)^2+(Table14[[#This Row],[petal_width]]-$O$4)^2)</f>
        <v>3.3559648389099666</v>
      </c>
      <c r="H29" s="52">
        <f>RANK(Table14[[#This Row],[Euclidean
Distance]],Table14[Euclidean
Distance],1)</f>
        <v>112</v>
      </c>
      <c r="I29" s="101">
        <f>ABS(Table14[[#This Row],[sepal_length]]-$L$4)+ABS(Table14[[#This Row],[sepal_width]]-$M$4)+ABS(Table14[[#This Row],[petal_length]]-$N$4)+ABS(Table14[[#This Row],[petal_width]]-$O$4)</f>
        <v>6.1499999999999995</v>
      </c>
      <c r="J29" s="70">
        <f>RANK(Table14[[#This Row],[Manhattan
Distance]],Table14[Manhattan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SQRT((Table14[[#This Row],[sepal_length]]-$L$4)^2+(Table14[[#This Row],[sepal_width]]-$M$4)^2+(Table14[[#This Row],[petal_length]]-$N$4)^2+(Table14[[#This Row],[petal_width]]-$O$4)^2)</f>
        <v>3.4135758377396566</v>
      </c>
      <c r="H30" s="52">
        <f>RANK(Table14[[#This Row],[Euclidean
Distance]],Table14[Euclidean
Distance],1)</f>
        <v>118</v>
      </c>
      <c r="I30" s="101">
        <f>ABS(Table14[[#This Row],[sepal_length]]-$L$4)+ABS(Table14[[#This Row],[sepal_width]]-$M$4)+ABS(Table14[[#This Row],[petal_length]]-$N$4)+ABS(Table14[[#This Row],[petal_width]]-$O$4)</f>
        <v>6.1499999999999995</v>
      </c>
      <c r="J30" s="70">
        <f>RANK(Table14[[#This Row],[Manhattan
Distance]],Table14[Manhattan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SQRT((Table14[[#This Row],[sepal_length]]-$L$4)^2+(Table14[[#This Row],[sepal_width]]-$M$4)^2+(Table14[[#This Row],[petal_length]]-$N$4)^2+(Table14[[#This Row],[petal_width]]-$O$4)^2)</f>
        <v>3.4846090168051851</v>
      </c>
      <c r="H31" s="52">
        <f>RANK(Table14[[#This Row],[Euclidean
Distance]],Table14[Euclidean
Distance],1)</f>
        <v>130</v>
      </c>
      <c r="I31" s="101">
        <f>ABS(Table14[[#This Row],[sepal_length]]-$L$4)+ABS(Table14[[#This Row],[sepal_width]]-$M$4)+ABS(Table14[[#This Row],[petal_length]]-$N$4)+ABS(Table14[[#This Row],[petal_width]]-$O$4)</f>
        <v>6.2499999999999991</v>
      </c>
      <c r="J31" s="70">
        <f>RANK(Table14[[#This Row],[Manhattan
Distance]],Table14[Manhattan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SQRT((Table14[[#This Row],[sepal_length]]-$L$4)^2+(Table14[[#This Row],[sepal_width]]-$M$4)^2+(Table14[[#This Row],[petal_length]]-$N$4)^2+(Table14[[#This Row],[petal_width]]-$O$4)^2)</f>
        <v>3.416504061171302</v>
      </c>
      <c r="H32" s="52">
        <f>RANK(Table14[[#This Row],[Euclidean
Distance]],Table14[Euclidean
Distance],1)</f>
        <v>119</v>
      </c>
      <c r="I32" s="101">
        <f>ABS(Table14[[#This Row],[sepal_length]]-$L$4)+ABS(Table14[[#This Row],[sepal_width]]-$M$4)+ABS(Table14[[#This Row],[petal_length]]-$N$4)+ABS(Table14[[#This Row],[petal_width]]-$O$4)</f>
        <v>6.05</v>
      </c>
      <c r="J32" s="70">
        <f>RANK(Table14[[#This Row],[Manhattan
Distance]],Table14[Manhattan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SQRT((Table14[[#This Row],[sepal_length]]-$L$4)^2+(Table14[[#This Row],[sepal_width]]-$M$4)^2+(Table14[[#This Row],[petal_length]]-$N$4)^2+(Table14[[#This Row],[petal_width]]-$O$4)^2)</f>
        <v>3.1752952618614851</v>
      </c>
      <c r="H33" s="52">
        <f>RANK(Table14[[#This Row],[Euclidean
Distance]],Table14[Euclidean
Distance],1)</f>
        <v>106</v>
      </c>
      <c r="I33" s="101">
        <f>ABS(Table14[[#This Row],[sepal_length]]-$L$4)+ABS(Table14[[#This Row],[sepal_width]]-$M$4)+ABS(Table14[[#This Row],[petal_length]]-$N$4)+ABS(Table14[[#This Row],[petal_width]]-$O$4)</f>
        <v>5.6499999999999986</v>
      </c>
      <c r="J33" s="70">
        <f>RANK(Table14[[#This Row],[Manhattan
Distance]],Table14[Manhattan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SQRT((Table14[[#This Row],[sepal_length]]-$L$4)^2+(Table14[[#This Row],[sepal_width]]-$M$4)^2+(Table14[[#This Row],[petal_length]]-$N$4)^2+(Table14[[#This Row],[petal_width]]-$O$4)^2)</f>
        <v>3.5766604535516082</v>
      </c>
      <c r="H34" s="52">
        <f>RANK(Table14[[#This Row],[Euclidean
Distance]],Table14[Euclidean
Distance],1)</f>
        <v>138</v>
      </c>
      <c r="I34" s="101">
        <f>ABS(Table14[[#This Row],[sepal_length]]-$L$4)+ABS(Table14[[#This Row],[sepal_width]]-$M$4)+ABS(Table14[[#This Row],[petal_length]]-$N$4)+ABS(Table14[[#This Row],[petal_width]]-$O$4)</f>
        <v>6.85</v>
      </c>
      <c r="J34" s="70">
        <f>RANK(Table14[[#This Row],[Manhattan
Distance]],Table14[Manhattan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SQRT((Table14[[#This Row],[sepal_length]]-$L$4)^2+(Table14[[#This Row],[sepal_width]]-$M$4)^2+(Table14[[#This Row],[petal_length]]-$N$4)^2+(Table14[[#This Row],[petal_width]]-$O$4)^2)</f>
        <v>3.538714455844099</v>
      </c>
      <c r="H35" s="52">
        <f>RANK(Table14[[#This Row],[Euclidean
Distance]],Table14[Euclidean
Distance],1)</f>
        <v>135</v>
      </c>
      <c r="I35" s="101">
        <f>ABS(Table14[[#This Row],[sepal_length]]-$L$4)+ABS(Table14[[#This Row],[sepal_width]]-$M$4)+ABS(Table14[[#This Row],[petal_length]]-$N$4)+ABS(Table14[[#This Row],[petal_width]]-$O$4)</f>
        <v>6.6499999999999995</v>
      </c>
      <c r="J35" s="70">
        <f>RANK(Table14[[#This Row],[Manhattan
Distance]],Table14[Manhattan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SQRT((Table14[[#This Row],[sepal_length]]-$L$4)^2+(Table14[[#This Row],[sepal_width]]-$M$4)^2+(Table14[[#This Row],[petal_length]]-$N$4)^2+(Table14[[#This Row],[petal_width]]-$O$4)^2)</f>
        <v>3.4759890678769398</v>
      </c>
      <c r="H36" s="52">
        <f>RANK(Table14[[#This Row],[Euclidean
Distance]],Table14[Euclidean
Distance],1)</f>
        <v>126</v>
      </c>
      <c r="I36" s="101">
        <f>ABS(Table14[[#This Row],[sepal_length]]-$L$4)+ABS(Table14[[#This Row],[sepal_width]]-$M$4)+ABS(Table14[[#This Row],[petal_length]]-$N$4)+ABS(Table14[[#This Row],[petal_width]]-$O$4)</f>
        <v>6.15</v>
      </c>
      <c r="J36" s="70">
        <f>RANK(Table14[[#This Row],[Manhattan
Distance]],Table14[Manhattan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SQRT((Table14[[#This Row],[sepal_length]]-$L$4)^2+(Table14[[#This Row],[sepal_width]]-$M$4)^2+(Table14[[#This Row],[petal_length]]-$N$4)^2+(Table14[[#This Row],[petal_width]]-$O$4)^2)</f>
        <v>3.6321481247328</v>
      </c>
      <c r="H37" s="52">
        <f>RANK(Table14[[#This Row],[Euclidean
Distance]],Table14[Euclidean
Distance],1)</f>
        <v>141</v>
      </c>
      <c r="I37" s="101">
        <f>ABS(Table14[[#This Row],[sepal_length]]-$L$4)+ABS(Table14[[#This Row],[sepal_width]]-$M$4)+ABS(Table14[[#This Row],[petal_length]]-$N$4)+ABS(Table14[[#This Row],[petal_width]]-$O$4)</f>
        <v>6.35</v>
      </c>
      <c r="J37" s="70">
        <f>RANK(Table14[[#This Row],[Manhattan
Distance]],Table14[Manhattan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SQRT((Table14[[#This Row],[sepal_length]]-$L$4)^2+(Table14[[#This Row],[sepal_width]]-$M$4)^2+(Table14[[#This Row],[petal_length]]-$N$4)^2+(Table14[[#This Row],[petal_width]]-$O$4)^2)</f>
        <v>3.3959534743573858</v>
      </c>
      <c r="H38" s="52">
        <f>RANK(Table14[[#This Row],[Euclidean
Distance]],Table14[Euclidean
Distance],1)</f>
        <v>116</v>
      </c>
      <c r="I38" s="101">
        <f>ABS(Table14[[#This Row],[sepal_length]]-$L$4)+ABS(Table14[[#This Row],[sepal_width]]-$M$4)+ABS(Table14[[#This Row],[petal_length]]-$N$4)+ABS(Table14[[#This Row],[petal_width]]-$O$4)</f>
        <v>6.05</v>
      </c>
      <c r="J38" s="70">
        <f>RANK(Table14[[#This Row],[Manhattan
Distance]],Table14[Manhattan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SQRT((Table14[[#This Row],[sepal_length]]-$L$4)^2+(Table14[[#This Row],[sepal_width]]-$M$4)^2+(Table14[[#This Row],[petal_length]]-$N$4)^2+(Table14[[#This Row],[petal_width]]-$O$4)^2)</f>
        <v>3.4759890678769398</v>
      </c>
      <c r="H39" s="52">
        <f>RANK(Table14[[#This Row],[Euclidean
Distance]],Table14[Euclidean
Distance],1)</f>
        <v>126</v>
      </c>
      <c r="I39" s="101">
        <f>ABS(Table14[[#This Row],[sepal_length]]-$L$4)+ABS(Table14[[#This Row],[sepal_width]]-$M$4)+ABS(Table14[[#This Row],[petal_length]]-$N$4)+ABS(Table14[[#This Row],[petal_width]]-$O$4)</f>
        <v>6.15</v>
      </c>
      <c r="J39" s="70">
        <f>RANK(Table14[[#This Row],[Manhattan
Distance]],Table14[Manhattan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SQRT((Table14[[#This Row],[sepal_length]]-$L$4)^2+(Table14[[#This Row],[sepal_width]]-$M$4)^2+(Table14[[#This Row],[petal_length]]-$N$4)^2+(Table14[[#This Row],[petal_width]]-$O$4)^2)</f>
        <v>3.8577843381920665</v>
      </c>
      <c r="H40" s="52">
        <f>RANK(Table14[[#This Row],[Euclidean
Distance]],Table14[Euclidean
Distance],1)</f>
        <v>147</v>
      </c>
      <c r="I40" s="101">
        <f>ABS(Table14[[#This Row],[sepal_length]]-$L$4)+ABS(Table14[[#This Row],[sepal_width]]-$M$4)+ABS(Table14[[#This Row],[petal_length]]-$N$4)+ABS(Table14[[#This Row],[petal_width]]-$O$4)</f>
        <v>6.6499999999999995</v>
      </c>
      <c r="J40" s="70">
        <f>RANK(Table14[[#This Row],[Manhattan
Distance]],Table14[Manhattan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SQRT((Table14[[#This Row],[sepal_length]]-$L$4)^2+(Table14[[#This Row],[sepal_width]]-$M$4)^2+(Table14[[#This Row],[petal_length]]-$N$4)^2+(Table14[[#This Row],[petal_width]]-$O$4)^2)</f>
        <v>3.3811980125393424</v>
      </c>
      <c r="H41" s="52">
        <f>RANK(Table14[[#This Row],[Euclidean
Distance]],Table14[Euclidean
Distance],1)</f>
        <v>114</v>
      </c>
      <c r="I41" s="101">
        <f>ABS(Table14[[#This Row],[sepal_length]]-$L$4)+ABS(Table14[[#This Row],[sepal_width]]-$M$4)+ABS(Table14[[#This Row],[petal_length]]-$N$4)+ABS(Table14[[#This Row],[petal_width]]-$O$4)</f>
        <v>6.1499999999999995</v>
      </c>
      <c r="J41" s="70">
        <f>RANK(Table14[[#This Row],[Manhattan
Distance]],Table14[Manhattan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SQRT((Table14[[#This Row],[sepal_length]]-$L$4)^2+(Table14[[#This Row],[sepal_width]]-$M$4)^2+(Table14[[#This Row],[petal_length]]-$N$4)^2+(Table14[[#This Row],[petal_width]]-$O$4)^2)</f>
        <v>3.5682628826923612</v>
      </c>
      <c r="H42" s="52">
        <f>RANK(Table14[[#This Row],[Euclidean
Distance]],Table14[Euclidean
Distance],1)</f>
        <v>137</v>
      </c>
      <c r="I42" s="101">
        <f>ABS(Table14[[#This Row],[sepal_length]]-$L$4)+ABS(Table14[[#This Row],[sepal_width]]-$M$4)+ABS(Table14[[#This Row],[petal_length]]-$N$4)+ABS(Table14[[#This Row],[petal_width]]-$O$4)</f>
        <v>6.45</v>
      </c>
      <c r="J42" s="70">
        <f>RANK(Table14[[#This Row],[Manhattan
Distance]],Table14[Manhattan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SQRT((Table14[[#This Row],[sepal_length]]-$L$4)^2+(Table14[[#This Row],[sepal_width]]-$M$4)^2+(Table14[[#This Row],[petal_length]]-$N$4)^2+(Table14[[#This Row],[petal_width]]-$O$4)^2)</f>
        <v>3.7845078940332519</v>
      </c>
      <c r="H43" s="52">
        <f>RANK(Table14[[#This Row],[Euclidean
Distance]],Table14[Euclidean
Distance],1)</f>
        <v>146</v>
      </c>
      <c r="I43" s="101">
        <f>ABS(Table14[[#This Row],[sepal_length]]-$L$4)+ABS(Table14[[#This Row],[sepal_width]]-$M$4)+ABS(Table14[[#This Row],[petal_length]]-$N$4)+ABS(Table14[[#This Row],[petal_width]]-$O$4)</f>
        <v>6.65</v>
      </c>
      <c r="J43" s="70">
        <f>RANK(Table14[[#This Row],[Manhattan
Distance]],Table14[Manhattan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SQRT((Table14[[#This Row],[sepal_length]]-$L$4)^2+(Table14[[#This Row],[sepal_width]]-$M$4)^2+(Table14[[#This Row],[petal_length]]-$N$4)^2+(Table14[[#This Row],[petal_width]]-$O$4)^2)</f>
        <v>3.8758869952566983</v>
      </c>
      <c r="H44" s="52">
        <f>RANK(Table14[[#This Row],[Euclidean
Distance]],Table14[Euclidean
Distance],1)</f>
        <v>148</v>
      </c>
      <c r="I44" s="101">
        <f>ABS(Table14[[#This Row],[sepal_length]]-$L$4)+ABS(Table14[[#This Row],[sepal_width]]-$M$4)+ABS(Table14[[#This Row],[petal_length]]-$N$4)+ABS(Table14[[#This Row],[petal_width]]-$O$4)</f>
        <v>6.85</v>
      </c>
      <c r="J44" s="70">
        <f>RANK(Table14[[#This Row],[Manhattan
Distance]],Table14[Manhattan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SQRT((Table14[[#This Row],[sepal_length]]-$L$4)^2+(Table14[[#This Row],[sepal_width]]-$M$4)^2+(Table14[[#This Row],[petal_length]]-$N$4)^2+(Table14[[#This Row],[petal_width]]-$O$4)^2)</f>
        <v>3.2422985673746951</v>
      </c>
      <c r="H45" s="52">
        <f>RANK(Table14[[#This Row],[Euclidean
Distance]],Table14[Euclidean
Distance],1)</f>
        <v>107</v>
      </c>
      <c r="I45" s="101">
        <f>ABS(Table14[[#This Row],[sepal_length]]-$L$4)+ABS(Table14[[#This Row],[sepal_width]]-$M$4)+ABS(Table14[[#This Row],[petal_length]]-$N$4)+ABS(Table14[[#This Row],[petal_width]]-$O$4)</f>
        <v>5.85</v>
      </c>
      <c r="J45" s="70">
        <f>RANK(Table14[[#This Row],[Manhattan
Distance]],Table14[Manhattan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SQRT((Table14[[#This Row],[sepal_length]]-$L$4)^2+(Table14[[#This Row],[sepal_width]]-$M$4)^2+(Table14[[#This Row],[petal_length]]-$N$4)^2+(Table14[[#This Row],[petal_width]]-$O$4)^2)</f>
        <v>3.1164884084494848</v>
      </c>
      <c r="H46" s="52">
        <f>RANK(Table14[[#This Row],[Euclidean
Distance]],Table14[Euclidean
Distance],1)</f>
        <v>104</v>
      </c>
      <c r="I46" s="101">
        <f>ABS(Table14[[#This Row],[sepal_length]]-$L$4)+ABS(Table14[[#This Row],[sepal_width]]-$M$4)+ABS(Table14[[#This Row],[petal_length]]-$N$4)+ABS(Table14[[#This Row],[petal_width]]-$O$4)</f>
        <v>5.9499999999999993</v>
      </c>
      <c r="J46" s="70">
        <f>RANK(Table14[[#This Row],[Manhattan
Distance]],Table14[Manhattan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SQRT((Table14[[#This Row],[sepal_length]]-$L$4)^2+(Table14[[#This Row],[sepal_width]]-$M$4)^2+(Table14[[#This Row],[petal_length]]-$N$4)^2+(Table14[[#This Row],[petal_width]]-$O$4)^2)</f>
        <v>3.5217183305880666</v>
      </c>
      <c r="H47" s="52">
        <f>RANK(Table14[[#This Row],[Euclidean
Distance]],Table14[Euclidean
Distance],1)</f>
        <v>133</v>
      </c>
      <c r="I47" s="101">
        <f>ABS(Table14[[#This Row],[sepal_length]]-$L$4)+ABS(Table14[[#This Row],[sepal_width]]-$M$4)+ABS(Table14[[#This Row],[petal_length]]-$N$4)+ABS(Table14[[#This Row],[petal_width]]-$O$4)</f>
        <v>6.05</v>
      </c>
      <c r="J47" s="70">
        <f>RANK(Table14[[#This Row],[Manhattan
Distance]],Table14[Manhattan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SQRT((Table14[[#This Row],[sepal_length]]-$L$4)^2+(Table14[[#This Row],[sepal_width]]-$M$4)^2+(Table14[[#This Row],[petal_length]]-$N$4)^2+(Table14[[#This Row],[petal_width]]-$O$4)^2)</f>
        <v>3.4062442660502197</v>
      </c>
      <c r="H48" s="52">
        <f>RANK(Table14[[#This Row],[Euclidean
Distance]],Table14[Euclidean
Distance],1)</f>
        <v>117</v>
      </c>
      <c r="I48" s="101">
        <f>ABS(Table14[[#This Row],[sepal_length]]-$L$4)+ABS(Table14[[#This Row],[sepal_width]]-$M$4)+ABS(Table14[[#This Row],[petal_length]]-$N$4)+ABS(Table14[[#This Row],[petal_width]]-$O$4)</f>
        <v>6.45</v>
      </c>
      <c r="J48" s="70">
        <f>RANK(Table14[[#This Row],[Manhattan
Distance]],Table14[Manhattan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SQRT((Table14[[#This Row],[sepal_length]]-$L$4)^2+(Table14[[#This Row],[sepal_width]]-$M$4)^2+(Table14[[#This Row],[petal_length]]-$N$4)^2+(Table14[[#This Row],[petal_width]]-$O$4)^2)</f>
        <v>3.6868007811651551</v>
      </c>
      <c r="H49" s="52">
        <f>RANK(Table14[[#This Row],[Euclidean
Distance]],Table14[Euclidean
Distance],1)</f>
        <v>143</v>
      </c>
      <c r="I49" s="101">
        <f>ABS(Table14[[#This Row],[sepal_length]]-$L$4)+ABS(Table14[[#This Row],[sepal_width]]-$M$4)+ABS(Table14[[#This Row],[petal_length]]-$N$4)+ABS(Table14[[#This Row],[petal_width]]-$O$4)</f>
        <v>6.55</v>
      </c>
      <c r="J49" s="70">
        <f>RANK(Table14[[#This Row],[Manhattan
Distance]],Table14[Manhattan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SQRT((Table14[[#This Row],[sepal_length]]-$L$4)^2+(Table14[[#This Row],[sepal_width]]-$M$4)^2+(Table14[[#This Row],[petal_length]]-$N$4)^2+(Table14[[#This Row],[petal_width]]-$O$4)^2)</f>
        <v>3.3634060117684275</v>
      </c>
      <c r="H50" s="52">
        <f>RANK(Table14[[#This Row],[Euclidean
Distance]],Table14[Euclidean
Distance],1)</f>
        <v>113</v>
      </c>
      <c r="I50" s="101">
        <f>ABS(Table14[[#This Row],[sepal_length]]-$L$4)+ABS(Table14[[#This Row],[sepal_width]]-$M$4)+ABS(Table14[[#This Row],[petal_length]]-$N$4)+ABS(Table14[[#This Row],[petal_width]]-$O$4)</f>
        <v>6.25</v>
      </c>
      <c r="J50" s="70">
        <f>RANK(Table14[[#This Row],[Manhattan
Distance]],Table14[Manhattan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SQRT((Table14[[#This Row],[sepal_length]]-$L$4)^2+(Table14[[#This Row],[sepal_width]]-$M$4)^2+(Table14[[#This Row],[petal_length]]-$N$4)^2+(Table14[[#This Row],[petal_width]]-$O$4)^2)</f>
        <v>3.488911004883902</v>
      </c>
      <c r="H51" s="52">
        <f>RANK(Table14[[#This Row],[Euclidean
Distance]],Table14[Euclidean
Distance],1)</f>
        <v>131</v>
      </c>
      <c r="I51" s="101">
        <f>ABS(Table14[[#This Row],[sepal_length]]-$L$4)+ABS(Table14[[#This Row],[sepal_width]]-$M$4)+ABS(Table14[[#This Row],[petal_length]]-$N$4)+ABS(Table14[[#This Row],[petal_width]]-$O$4)</f>
        <v>6.2499999999999991</v>
      </c>
      <c r="J51" s="70">
        <f>RANK(Table14[[#This Row],[Manhattan
Distance]],Table14[Manhattan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SQRT((Table14[[#This Row],[sepal_length]]-$L$4)^2+(Table14[[#This Row],[sepal_width]]-$M$4)^2+(Table14[[#This Row],[petal_length]]-$N$4)^2+(Table14[[#This Row],[petal_width]]-$O$4)^2)</f>
        <v>0.81394102980498584</v>
      </c>
      <c r="H52" s="52">
        <f>RANK(Table14[[#This Row],[Euclidean
Distance]],Table14[Euclidean
Distance],1)</f>
        <v>12</v>
      </c>
      <c r="I52" s="101">
        <f>ABS(Table14[[#This Row],[sepal_length]]-$L$4)+ABS(Table14[[#This Row],[sepal_width]]-$M$4)+ABS(Table14[[#This Row],[petal_length]]-$N$4)+ABS(Table14[[#This Row],[petal_width]]-$O$4)</f>
        <v>1.4500000000000006</v>
      </c>
      <c r="J52" s="70">
        <f>RANK(Table14[[#This Row],[Manhattan
Distance]],Table14[Manhattan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SQRT((Table14[[#This Row],[sepal_length]]-$L$4)^2+(Table14[[#This Row],[sepal_width]]-$M$4)^2+(Table14[[#This Row],[petal_length]]-$N$4)^2+(Table14[[#This Row],[petal_width]]-$O$4)^2)</f>
        <v>0.67268120235368578</v>
      </c>
      <c r="H53" s="52">
        <f>RANK(Table14[[#This Row],[Euclidean
Distance]],Table14[Euclidean
Distance],1)</f>
        <v>8</v>
      </c>
      <c r="I53" s="101">
        <f>ABS(Table14[[#This Row],[sepal_length]]-$L$4)+ABS(Table14[[#This Row],[sepal_width]]-$M$4)+ABS(Table14[[#This Row],[petal_length]]-$N$4)+ABS(Table14[[#This Row],[petal_width]]-$O$4)</f>
        <v>1.1500000000000004</v>
      </c>
      <c r="J53" s="70">
        <f>RANK(Table14[[#This Row],[Manhattan
Distance]],Table14[Manhattan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SQRT((Table14[[#This Row],[sepal_length]]-$L$4)^2+(Table14[[#This Row],[sepal_width]]-$M$4)^2+(Table14[[#This Row],[petal_length]]-$N$4)^2+(Table14[[#This Row],[petal_width]]-$O$4)^2)</f>
        <v>0.89582364335844655</v>
      </c>
      <c r="H54" s="52">
        <f>RANK(Table14[[#This Row],[Euclidean
Distance]],Table14[Euclidean
Distance],1)</f>
        <v>18</v>
      </c>
      <c r="I54" s="101">
        <f>ABS(Table14[[#This Row],[sepal_length]]-$L$4)+ABS(Table14[[#This Row],[sepal_width]]-$M$4)+ABS(Table14[[#This Row],[petal_length]]-$N$4)+ABS(Table14[[#This Row],[petal_width]]-$O$4)</f>
        <v>1.350000000000001</v>
      </c>
      <c r="J54" s="70">
        <f>RANK(Table14[[#This Row],[Manhattan
Distance]],Table14[Manhattan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SQRT((Table14[[#This Row],[sepal_length]]-$L$4)^2+(Table14[[#This Row],[sepal_width]]-$M$4)^2+(Table14[[#This Row],[petal_length]]-$N$4)^2+(Table14[[#This Row],[petal_width]]-$O$4)^2)</f>
        <v>1.300961183125769</v>
      </c>
      <c r="H55" s="52">
        <f>RANK(Table14[[#This Row],[Euclidean
Distance]],Table14[Euclidean
Distance],1)</f>
        <v>52</v>
      </c>
      <c r="I55" s="101">
        <f>ABS(Table14[[#This Row],[sepal_length]]-$L$4)+ABS(Table14[[#This Row],[sepal_width]]-$M$4)+ABS(Table14[[#This Row],[petal_length]]-$N$4)+ABS(Table14[[#This Row],[petal_width]]-$O$4)</f>
        <v>1.95</v>
      </c>
      <c r="J55" s="70">
        <f>RANK(Table14[[#This Row],[Manhattan
Distance]],Table14[Manhattan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SQRT((Table14[[#This Row],[sepal_length]]-$L$4)^2+(Table14[[#This Row],[sepal_width]]-$M$4)^2+(Table14[[#This Row],[petal_length]]-$N$4)^2+(Table14[[#This Row],[petal_width]]-$O$4)^2)</f>
        <v>0.54083269131959844</v>
      </c>
      <c r="H56" s="52">
        <f>RANK(Table14[[#This Row],[Euclidean
Distance]],Table14[Euclidean
Distance],1)</f>
        <v>4</v>
      </c>
      <c r="I56" s="101">
        <f>ABS(Table14[[#This Row],[sepal_length]]-$L$4)+ABS(Table14[[#This Row],[sepal_width]]-$M$4)+ABS(Table14[[#This Row],[petal_length]]-$N$4)+ABS(Table14[[#This Row],[petal_width]]-$O$4)</f>
        <v>0.75</v>
      </c>
      <c r="J56" s="70">
        <f>RANK(Table14[[#This Row],[Manhattan
Distance]],Table14[Manhattan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SQRT((Table14[[#This Row],[sepal_length]]-$L$4)^2+(Table14[[#This Row],[sepal_width]]-$M$4)^2+(Table14[[#This Row],[petal_length]]-$N$4)^2+(Table14[[#This Row],[petal_width]]-$O$4)^2)</f>
        <v>1.0965856099730655</v>
      </c>
      <c r="H57" s="52">
        <f>RANK(Table14[[#This Row],[Euclidean
Distance]],Table14[Euclidean
Distance],1)</f>
        <v>37</v>
      </c>
      <c r="I57" s="101">
        <f>ABS(Table14[[#This Row],[sepal_length]]-$L$4)+ABS(Table14[[#This Row],[sepal_width]]-$M$4)+ABS(Table14[[#This Row],[petal_length]]-$N$4)+ABS(Table14[[#This Row],[petal_width]]-$O$4)</f>
        <v>1.6500000000000001</v>
      </c>
      <c r="J57" s="70">
        <f>RANK(Table14[[#This Row],[Manhattan
Distance]],Table14[Manhattan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SQRT((Table14[[#This Row],[sepal_length]]-$L$4)^2+(Table14[[#This Row],[sepal_width]]-$M$4)^2+(Table14[[#This Row],[petal_length]]-$N$4)^2+(Table14[[#This Row],[petal_width]]-$O$4)^2)</f>
        <v>0.91241437954473337</v>
      </c>
      <c r="H58" s="52">
        <f>RANK(Table14[[#This Row],[Euclidean
Distance]],Table14[Euclidean
Distance],1)</f>
        <v>21</v>
      </c>
      <c r="I58" s="101">
        <f>ABS(Table14[[#This Row],[sepal_length]]-$L$4)+ABS(Table14[[#This Row],[sepal_width]]-$M$4)+ABS(Table14[[#This Row],[petal_length]]-$N$4)+ABS(Table14[[#This Row],[petal_width]]-$O$4)</f>
        <v>1.6500000000000008</v>
      </c>
      <c r="J58" s="70">
        <f>RANK(Table14[[#This Row],[Manhattan
Distance]],Table14[Manhattan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SQRT((Table14[[#This Row],[sepal_length]]-$L$4)^2+(Table14[[#This Row],[sepal_width]]-$M$4)^2+(Table14[[#This Row],[petal_length]]-$N$4)^2+(Table14[[#This Row],[petal_width]]-$O$4)^2)</f>
        <v>2.0621590627301281</v>
      </c>
      <c r="H59" s="52">
        <f>RANK(Table14[[#This Row],[Euclidean
Distance]],Table14[Euclidean
Distance],1)</f>
        <v>90</v>
      </c>
      <c r="I59" s="101">
        <f>ABS(Table14[[#This Row],[sepal_length]]-$L$4)+ABS(Table14[[#This Row],[sepal_width]]-$M$4)+ABS(Table14[[#This Row],[petal_length]]-$N$4)+ABS(Table14[[#This Row],[petal_width]]-$O$4)</f>
        <v>3.4499999999999997</v>
      </c>
      <c r="J59" s="70">
        <f>RANK(Table14[[#This Row],[Manhattan
Distance]],Table14[Manhattan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SQRT((Table14[[#This Row],[sepal_length]]-$L$4)^2+(Table14[[#This Row],[sepal_width]]-$M$4)^2+(Table14[[#This Row],[petal_length]]-$N$4)^2+(Table14[[#This Row],[petal_width]]-$O$4)^2)</f>
        <v>0.56789083458002743</v>
      </c>
      <c r="H60" s="52">
        <f>RANK(Table14[[#This Row],[Euclidean
Distance]],Table14[Euclidean
Distance],1)</f>
        <v>5</v>
      </c>
      <c r="I60" s="101">
        <f>ABS(Table14[[#This Row],[sepal_length]]-$L$4)+ABS(Table14[[#This Row],[sepal_width]]-$M$4)+ABS(Table14[[#This Row],[petal_length]]-$N$4)+ABS(Table14[[#This Row],[petal_width]]-$O$4)</f>
        <v>0.9500000000000004</v>
      </c>
      <c r="J60" s="70">
        <f>RANK(Table14[[#This Row],[Manhattan
Distance]],Table14[Manhattan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SQRT((Table14[[#This Row],[sepal_length]]-$L$4)^2+(Table14[[#This Row],[sepal_width]]-$M$4)^2+(Table14[[#This Row],[petal_length]]-$N$4)^2+(Table14[[#This Row],[petal_width]]-$O$4)^2)</f>
        <v>1.517399090549352</v>
      </c>
      <c r="H61" s="52">
        <f>RANK(Table14[[#This Row],[Euclidean
Distance]],Table14[Euclidean
Distance],1)</f>
        <v>66</v>
      </c>
      <c r="I61" s="101">
        <f>ABS(Table14[[#This Row],[sepal_length]]-$L$4)+ABS(Table14[[#This Row],[sepal_width]]-$M$4)+ABS(Table14[[#This Row],[petal_length]]-$N$4)+ABS(Table14[[#This Row],[petal_width]]-$O$4)</f>
        <v>1.8499999999999996</v>
      </c>
      <c r="J61" s="70">
        <f>RANK(Table14[[#This Row],[Manhattan
Distance]],Table14[Manhattan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SQRT((Table14[[#This Row],[sepal_length]]-$L$4)^2+(Table14[[#This Row],[sepal_width]]-$M$4)^2+(Table14[[#This Row],[petal_length]]-$N$4)^2+(Table14[[#This Row],[petal_width]]-$O$4)^2)</f>
        <v>2.0155644370746373</v>
      </c>
      <c r="H62" s="52">
        <f>RANK(Table14[[#This Row],[Euclidean
Distance]],Table14[Euclidean
Distance],1)</f>
        <v>87</v>
      </c>
      <c r="I62" s="101">
        <f>ABS(Table14[[#This Row],[sepal_length]]-$L$4)+ABS(Table14[[#This Row],[sepal_width]]-$M$4)+ABS(Table14[[#This Row],[petal_length]]-$N$4)+ABS(Table14[[#This Row],[petal_width]]-$O$4)</f>
        <v>3.55</v>
      </c>
      <c r="J62" s="70">
        <f>RANK(Table14[[#This Row],[Manhattan
Distance]],Table14[Manhattan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SQRT((Table14[[#This Row],[sepal_length]]-$L$4)^2+(Table14[[#This Row],[sepal_width]]-$M$4)^2+(Table14[[#This Row],[petal_length]]-$N$4)^2+(Table14[[#This Row],[petal_width]]-$O$4)^2)</f>
        <v>0.84409715080670644</v>
      </c>
      <c r="H63" s="52">
        <f>RANK(Table14[[#This Row],[Euclidean
Distance]],Table14[Euclidean
Distance],1)</f>
        <v>15</v>
      </c>
      <c r="I63" s="101">
        <f>ABS(Table14[[#This Row],[sepal_length]]-$L$4)+ABS(Table14[[#This Row],[sepal_width]]-$M$4)+ABS(Table14[[#This Row],[petal_length]]-$N$4)+ABS(Table14[[#This Row],[petal_width]]-$O$4)</f>
        <v>1.1500000000000004</v>
      </c>
      <c r="J63" s="70">
        <f>RANK(Table14[[#This Row],[Manhattan
Distance]],Table14[Manhattan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SQRT((Table14[[#This Row],[sepal_length]]-$L$4)^2+(Table14[[#This Row],[sepal_width]]-$M$4)^2+(Table14[[#This Row],[petal_length]]-$N$4)^2+(Table14[[#This Row],[petal_width]]-$O$4)^2)</f>
        <v>1.0259142264341596</v>
      </c>
      <c r="H64" s="52">
        <f>RANK(Table14[[#This Row],[Euclidean
Distance]],Table14[Euclidean
Distance],1)</f>
        <v>28</v>
      </c>
      <c r="I64" s="101">
        <f>ABS(Table14[[#This Row],[sepal_length]]-$L$4)+ABS(Table14[[#This Row],[sepal_width]]-$M$4)+ABS(Table14[[#This Row],[petal_length]]-$N$4)+ABS(Table14[[#This Row],[petal_width]]-$O$4)</f>
        <v>1.8499999999999996</v>
      </c>
      <c r="J64" s="70">
        <f>RANK(Table14[[#This Row],[Manhattan
Distance]],Table14[Manhattan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SQRT((Table14[[#This Row],[sepal_length]]-$L$4)^2+(Table14[[#This Row],[sepal_width]]-$M$4)^2+(Table14[[#This Row],[petal_length]]-$N$4)^2+(Table14[[#This Row],[petal_width]]-$O$4)^2)</f>
        <v>0.86746757864487434</v>
      </c>
      <c r="H65" s="52">
        <f>RANK(Table14[[#This Row],[Euclidean
Distance]],Table14[Euclidean
Distance],1)</f>
        <v>17</v>
      </c>
      <c r="I65" s="101">
        <f>ABS(Table14[[#This Row],[sepal_length]]-$L$4)+ABS(Table14[[#This Row],[sepal_width]]-$M$4)+ABS(Table14[[#This Row],[petal_length]]-$N$4)+ABS(Table14[[#This Row],[petal_width]]-$O$4)</f>
        <v>1.4500000000000011</v>
      </c>
      <c r="J65" s="70">
        <f>RANK(Table14[[#This Row],[Manhattan
Distance]],Table14[Manhattan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SQRT((Table14[[#This Row],[sepal_length]]-$L$4)^2+(Table14[[#This Row],[sepal_width]]-$M$4)^2+(Table14[[#This Row],[petal_length]]-$N$4)^2+(Table14[[#This Row],[petal_width]]-$O$4)^2)</f>
        <v>1.2338962679253069</v>
      </c>
      <c r="H66" s="52">
        <f>RANK(Table14[[#This Row],[Euclidean
Distance]],Table14[Euclidean
Distance],1)</f>
        <v>45</v>
      </c>
      <c r="I66" s="101">
        <f>ABS(Table14[[#This Row],[sepal_length]]-$L$4)+ABS(Table14[[#This Row],[sepal_width]]-$M$4)+ABS(Table14[[#This Row],[petal_length]]-$N$4)+ABS(Table14[[#This Row],[petal_width]]-$O$4)</f>
        <v>1.95</v>
      </c>
      <c r="J66" s="70">
        <f>RANK(Table14[[#This Row],[Manhattan
Distance]],Table14[Manhattan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SQRT((Table14[[#This Row],[sepal_length]]-$L$4)^2+(Table14[[#This Row],[sepal_width]]-$M$4)^2+(Table14[[#This Row],[petal_length]]-$N$4)^2+(Table14[[#This Row],[petal_width]]-$O$4)^2)</f>
        <v>0.47169905660283074</v>
      </c>
      <c r="H67" s="52">
        <f>RANK(Table14[[#This Row],[Euclidean
Distance]],Table14[Euclidean
Distance],1)</f>
        <v>3</v>
      </c>
      <c r="I67" s="101">
        <f>ABS(Table14[[#This Row],[sepal_length]]-$L$4)+ABS(Table14[[#This Row],[sepal_width]]-$M$4)+ABS(Table14[[#This Row],[petal_length]]-$N$4)+ABS(Table14[[#This Row],[petal_width]]-$O$4)</f>
        <v>0.75000000000000089</v>
      </c>
      <c r="J67" s="70">
        <f>RANK(Table14[[#This Row],[Manhattan
Distance]],Table14[Manhattan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SQRT((Table14[[#This Row],[sepal_length]]-$L$4)^2+(Table14[[#This Row],[sepal_width]]-$M$4)^2+(Table14[[#This Row],[petal_length]]-$N$4)^2+(Table14[[#This Row],[petal_width]]-$O$4)^2)</f>
        <v>1.196870920358583</v>
      </c>
      <c r="H68" s="52">
        <f>RANK(Table14[[#This Row],[Euclidean
Distance]],Table14[Euclidean
Distance],1)</f>
        <v>41</v>
      </c>
      <c r="I68" s="101">
        <f>ABS(Table14[[#This Row],[sepal_length]]-$L$4)+ABS(Table14[[#This Row],[sepal_width]]-$M$4)+ABS(Table14[[#This Row],[petal_length]]-$N$4)+ABS(Table14[[#This Row],[petal_width]]-$O$4)</f>
        <v>1.7500000000000009</v>
      </c>
      <c r="J68" s="70">
        <f>RANK(Table14[[#This Row],[Manhattan
Distance]],Table14[Manhattan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SQRT((Table14[[#This Row],[sepal_length]]-$L$4)^2+(Table14[[#This Row],[sepal_width]]-$M$4)^2+(Table14[[#This Row],[petal_length]]-$N$4)^2+(Table14[[#This Row],[petal_width]]-$O$4)^2)</f>
        <v>1.0307764064044154</v>
      </c>
      <c r="H69" s="52">
        <f>RANK(Table14[[#This Row],[Euclidean
Distance]],Table14[Euclidean
Distance],1)</f>
        <v>29</v>
      </c>
      <c r="I69" s="101">
        <f>ABS(Table14[[#This Row],[sepal_length]]-$L$4)+ABS(Table14[[#This Row],[sepal_width]]-$M$4)+ABS(Table14[[#This Row],[petal_length]]-$N$4)+ABS(Table14[[#This Row],[petal_width]]-$O$4)</f>
        <v>1.4500000000000002</v>
      </c>
      <c r="J69" s="70">
        <f>RANK(Table14[[#This Row],[Manhattan
Distance]],Table14[Manhattan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SQRT((Table14[[#This Row],[sepal_length]]-$L$4)^2+(Table14[[#This Row],[sepal_width]]-$M$4)^2+(Table14[[#This Row],[petal_length]]-$N$4)^2+(Table14[[#This Row],[petal_width]]-$O$4)^2)</f>
        <v>0.84409715080670666</v>
      </c>
      <c r="H70" s="52">
        <f>RANK(Table14[[#This Row],[Euclidean
Distance]],Table14[Euclidean
Distance],1)</f>
        <v>16</v>
      </c>
      <c r="I70" s="101">
        <f>ABS(Table14[[#This Row],[sepal_length]]-$L$4)+ABS(Table14[[#This Row],[sepal_width]]-$M$4)+ABS(Table14[[#This Row],[petal_length]]-$N$4)+ABS(Table14[[#This Row],[petal_width]]-$O$4)</f>
        <v>1.4500000000000002</v>
      </c>
      <c r="J70" s="70">
        <f>RANK(Table14[[#This Row],[Manhattan
Distance]],Table14[Manhattan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SQRT((Table14[[#This Row],[sepal_length]]-$L$4)^2+(Table14[[#This Row],[sepal_width]]-$M$4)^2+(Table14[[#This Row],[petal_length]]-$N$4)^2+(Table14[[#This Row],[petal_width]]-$O$4)^2)</f>
        <v>1.2134661099511601</v>
      </c>
      <c r="H71" s="52">
        <f>RANK(Table14[[#This Row],[Euclidean
Distance]],Table14[Euclidean
Distance],1)</f>
        <v>42</v>
      </c>
      <c r="I71" s="101">
        <f>ABS(Table14[[#This Row],[sepal_length]]-$L$4)+ABS(Table14[[#This Row],[sepal_width]]-$M$4)+ABS(Table14[[#This Row],[petal_length]]-$N$4)+ABS(Table14[[#This Row],[petal_width]]-$O$4)</f>
        <v>1.9500000000000002</v>
      </c>
      <c r="J71" s="70">
        <f>RANK(Table14[[#This Row],[Manhattan
Distance]],Table14[Manhattan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SQRT((Table14[[#This Row],[sepal_length]]-$L$4)^2+(Table14[[#This Row],[sepal_width]]-$M$4)^2+(Table14[[#This Row],[petal_length]]-$N$4)^2+(Table14[[#This Row],[petal_width]]-$O$4)^2)</f>
        <v>1.1926860441876563</v>
      </c>
      <c r="H72" s="52">
        <f>RANK(Table14[[#This Row],[Euclidean
Distance]],Table14[Euclidean
Distance],1)</f>
        <v>40</v>
      </c>
      <c r="I72" s="101">
        <f>ABS(Table14[[#This Row],[sepal_length]]-$L$4)+ABS(Table14[[#This Row],[sepal_width]]-$M$4)+ABS(Table14[[#This Row],[petal_length]]-$N$4)+ABS(Table14[[#This Row],[petal_width]]-$O$4)</f>
        <v>2.25</v>
      </c>
      <c r="J72" s="70">
        <f>RANK(Table14[[#This Row],[Manhattan
Distance]],Table14[Manhattan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SQRT((Table14[[#This Row],[sepal_length]]-$L$4)^2+(Table14[[#This Row],[sepal_width]]-$M$4)^2+(Table14[[#This Row],[petal_length]]-$N$4)^2+(Table14[[#This Row],[petal_width]]-$O$4)^2)</f>
        <v>0.64226162893325689</v>
      </c>
      <c r="H73" s="52">
        <f>RANK(Table14[[#This Row],[Euclidean
Distance]],Table14[Euclidean
Distance],1)</f>
        <v>7</v>
      </c>
      <c r="I73" s="101">
        <f>ABS(Table14[[#This Row],[sepal_length]]-$L$4)+ABS(Table14[[#This Row],[sepal_width]]-$M$4)+ABS(Table14[[#This Row],[petal_length]]-$N$4)+ABS(Table14[[#This Row],[petal_width]]-$O$4)</f>
        <v>0.95</v>
      </c>
      <c r="J73" s="70">
        <f>RANK(Table14[[#This Row],[Manhattan
Distance]],Table14[Manhattan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SQRT((Table14[[#This Row],[sepal_length]]-$L$4)^2+(Table14[[#This Row],[sepal_width]]-$M$4)^2+(Table14[[#This Row],[petal_length]]-$N$4)^2+(Table14[[#This Row],[petal_width]]-$O$4)^2)</f>
        <v>0.92870878105033627</v>
      </c>
      <c r="H74" s="52">
        <f>RANK(Table14[[#This Row],[Euclidean
Distance]],Table14[Euclidean
Distance],1)</f>
        <v>22</v>
      </c>
      <c r="I74" s="101">
        <f>ABS(Table14[[#This Row],[sepal_length]]-$L$4)+ABS(Table14[[#This Row],[sepal_width]]-$M$4)+ABS(Table14[[#This Row],[petal_length]]-$N$4)+ABS(Table14[[#This Row],[petal_width]]-$O$4)</f>
        <v>1.4500000000000011</v>
      </c>
      <c r="J74" s="70">
        <f>RANK(Table14[[#This Row],[Manhattan
Distance]],Table14[Manhattan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SQRT((Table14[[#This Row],[sepal_length]]-$L$4)^2+(Table14[[#This Row],[sepal_width]]-$M$4)^2+(Table14[[#This Row],[petal_length]]-$N$4)^2+(Table14[[#This Row],[petal_width]]-$O$4)^2)</f>
        <v>0.90138781886599806</v>
      </c>
      <c r="H75" s="52">
        <f>RANK(Table14[[#This Row],[Euclidean
Distance]],Table14[Euclidean
Distance],1)</f>
        <v>19</v>
      </c>
      <c r="I75" s="101">
        <f>ABS(Table14[[#This Row],[sepal_length]]-$L$4)+ABS(Table14[[#This Row],[sepal_width]]-$M$4)+ABS(Table14[[#This Row],[petal_length]]-$N$4)+ABS(Table14[[#This Row],[petal_width]]-$O$4)</f>
        <v>1.5500000000000009</v>
      </c>
      <c r="J75" s="70">
        <f>RANK(Table14[[#This Row],[Manhattan
Distance]],Table14[Manhattan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SQRT((Table14[[#This Row],[sepal_length]]-$L$4)^2+(Table14[[#This Row],[sepal_width]]-$M$4)^2+(Table14[[#This Row],[petal_length]]-$N$4)^2+(Table14[[#This Row],[petal_width]]-$O$4)^2)</f>
        <v>0.43874821936960601</v>
      </c>
      <c r="H76" s="52">
        <f>RANK(Table14[[#This Row],[Euclidean
Distance]],Table14[Euclidean
Distance],1)</f>
        <v>2</v>
      </c>
      <c r="I76" s="101">
        <f>ABS(Table14[[#This Row],[sepal_length]]-$L$4)+ABS(Table14[[#This Row],[sepal_width]]-$M$4)+ABS(Table14[[#This Row],[petal_length]]-$N$4)+ABS(Table14[[#This Row],[petal_width]]-$O$4)</f>
        <v>0.84999999999999987</v>
      </c>
      <c r="J76" s="70">
        <f>RANK(Table14[[#This Row],[Manhattan
Distance]],Table14[Manhattan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SQRT((Table14[[#This Row],[sepal_length]]-$L$4)^2+(Table14[[#This Row],[sepal_width]]-$M$4)^2+(Table14[[#This Row],[petal_length]]-$N$4)^2+(Table14[[#This Row],[petal_width]]-$O$4)^2)</f>
        <v>0.41533119314590439</v>
      </c>
      <c r="H77" s="52">
        <f>RANK(Table14[[#This Row],[Euclidean
Distance]],Table14[Euclidean
Distance],1)</f>
        <v>1</v>
      </c>
      <c r="I77" s="101">
        <f>ABS(Table14[[#This Row],[sepal_length]]-$L$4)+ABS(Table14[[#This Row],[sepal_width]]-$M$4)+ABS(Table14[[#This Row],[petal_length]]-$N$4)+ABS(Table14[[#This Row],[petal_width]]-$O$4)</f>
        <v>0.75000000000000133</v>
      </c>
      <c r="J77" s="70">
        <f>RANK(Table14[[#This Row],[Manhattan
Distance]],Table14[Manhattan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SQRT((Table14[[#This Row],[sepal_length]]-$L$4)^2+(Table14[[#This Row],[sepal_width]]-$M$4)^2+(Table14[[#This Row],[petal_length]]-$N$4)^2+(Table14[[#This Row],[petal_width]]-$O$4)^2)</f>
        <v>0.71589105316381774</v>
      </c>
      <c r="H78" s="52">
        <f>RANK(Table14[[#This Row],[Euclidean
Distance]],Table14[Euclidean
Distance],1)</f>
        <v>11</v>
      </c>
      <c r="I78" s="101">
        <f>ABS(Table14[[#This Row],[sepal_length]]-$L$4)+ABS(Table14[[#This Row],[sepal_width]]-$M$4)+ABS(Table14[[#This Row],[petal_length]]-$N$4)+ABS(Table14[[#This Row],[petal_width]]-$O$4)</f>
        <v>0.94999999999999973</v>
      </c>
      <c r="J78" s="70">
        <f>RANK(Table14[[#This Row],[Manhattan
Distance]],Table14[Manhattan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SQRT((Table14[[#This Row],[sepal_length]]-$L$4)^2+(Table14[[#This Row],[sepal_width]]-$M$4)^2+(Table14[[#This Row],[petal_length]]-$N$4)^2+(Table14[[#This Row],[petal_width]]-$O$4)^2)</f>
        <v>0.95524865872714027</v>
      </c>
      <c r="H79" s="52">
        <f>RANK(Table14[[#This Row],[Euclidean
Distance]],Table14[Euclidean
Distance],1)</f>
        <v>24</v>
      </c>
      <c r="I79" s="101">
        <f>ABS(Table14[[#This Row],[sepal_length]]-$L$4)+ABS(Table14[[#This Row],[sepal_width]]-$M$4)+ABS(Table14[[#This Row],[petal_length]]-$N$4)+ABS(Table14[[#This Row],[petal_width]]-$O$4)</f>
        <v>1.3500000000000003</v>
      </c>
      <c r="J79" s="70">
        <f>RANK(Table14[[#This Row],[Manhattan
Distance]],Table14[Manhattan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SQRT((Table14[[#This Row],[sepal_length]]-$L$4)^2+(Table14[[#This Row],[sepal_width]]-$M$4)^2+(Table14[[#This Row],[petal_length]]-$N$4)^2+(Table14[[#This Row],[petal_width]]-$O$4)^2)</f>
        <v>0.82006097334283656</v>
      </c>
      <c r="H80" s="52">
        <f>RANK(Table14[[#This Row],[Euclidean
Distance]],Table14[Euclidean
Distance],1)</f>
        <v>13</v>
      </c>
      <c r="I80" s="101">
        <f>ABS(Table14[[#This Row],[sepal_length]]-$L$4)+ABS(Table14[[#This Row],[sepal_width]]-$M$4)+ABS(Table14[[#This Row],[petal_length]]-$N$4)+ABS(Table14[[#This Row],[petal_width]]-$O$4)</f>
        <v>1.2500000000000004</v>
      </c>
      <c r="J80" s="70">
        <f>RANK(Table14[[#This Row],[Manhattan
Distance]],Table14[Manhattan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SQRT((Table14[[#This Row],[sepal_length]]-$L$4)^2+(Table14[[#This Row],[sepal_width]]-$M$4)^2+(Table14[[#This Row],[petal_length]]-$N$4)^2+(Table14[[#This Row],[petal_width]]-$O$4)^2)</f>
        <v>1.2776932339180636</v>
      </c>
      <c r="H81" s="52">
        <f>RANK(Table14[[#This Row],[Euclidean
Distance]],Table14[Euclidean
Distance],1)</f>
        <v>49</v>
      </c>
      <c r="I81" s="101">
        <f>ABS(Table14[[#This Row],[sepal_length]]-$L$4)+ABS(Table14[[#This Row],[sepal_width]]-$M$4)+ABS(Table14[[#This Row],[petal_length]]-$N$4)+ABS(Table14[[#This Row],[petal_width]]-$O$4)</f>
        <v>2.2499999999999996</v>
      </c>
      <c r="J81" s="70">
        <f>RANK(Table14[[#This Row],[Manhattan
Distance]],Table14[Manhattan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SQRT((Table14[[#This Row],[sepal_length]]-$L$4)^2+(Table14[[#This Row],[sepal_width]]-$M$4)^2+(Table14[[#This Row],[petal_length]]-$N$4)^2+(Table14[[#This Row],[petal_width]]-$O$4)^2)</f>
        <v>1.3462912017836262</v>
      </c>
      <c r="H82" s="52">
        <f>RANK(Table14[[#This Row],[Euclidean
Distance]],Table14[Euclidean
Distance],1)</f>
        <v>55</v>
      </c>
      <c r="I82" s="101">
        <f>ABS(Table14[[#This Row],[sepal_length]]-$L$4)+ABS(Table14[[#This Row],[sepal_width]]-$M$4)+ABS(Table14[[#This Row],[petal_length]]-$N$4)+ABS(Table14[[#This Row],[petal_width]]-$O$4)</f>
        <v>2.25</v>
      </c>
      <c r="J82" s="70">
        <f>RANK(Table14[[#This Row],[Manhattan
Distance]],Table14[Manhattan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SQRT((Table14[[#This Row],[sepal_length]]-$L$4)^2+(Table14[[#This Row],[sepal_width]]-$M$4)^2+(Table14[[#This Row],[petal_length]]-$N$4)^2+(Table14[[#This Row],[petal_width]]-$O$4)^2)</f>
        <v>1.4044571905188139</v>
      </c>
      <c r="H83" s="52">
        <f>RANK(Table14[[#This Row],[Euclidean
Distance]],Table14[Euclidean
Distance],1)</f>
        <v>58</v>
      </c>
      <c r="I83" s="101">
        <f>ABS(Table14[[#This Row],[sepal_length]]-$L$4)+ABS(Table14[[#This Row],[sepal_width]]-$M$4)+ABS(Table14[[#This Row],[petal_length]]-$N$4)+ABS(Table14[[#This Row],[petal_width]]-$O$4)</f>
        <v>2.4499999999999997</v>
      </c>
      <c r="J83" s="70">
        <f>RANK(Table14[[#This Row],[Manhattan
Distance]],Table14[Manhattan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SQRT((Table14[[#This Row],[sepal_length]]-$L$4)^2+(Table14[[#This Row],[sepal_width]]-$M$4)^2+(Table14[[#This Row],[petal_length]]-$N$4)^2+(Table14[[#This Row],[petal_width]]-$O$4)^2)</f>
        <v>0.97082439194738024</v>
      </c>
      <c r="H84" s="52">
        <f>RANK(Table14[[#This Row],[Euclidean
Distance]],Table14[Euclidean
Distance],1)</f>
        <v>26</v>
      </c>
      <c r="I84" s="101">
        <f>ABS(Table14[[#This Row],[sepal_length]]-$L$4)+ABS(Table14[[#This Row],[sepal_width]]-$M$4)+ABS(Table14[[#This Row],[petal_length]]-$N$4)+ABS(Table14[[#This Row],[petal_width]]-$O$4)</f>
        <v>1.45</v>
      </c>
      <c r="J84" s="70">
        <f>RANK(Table14[[#This Row],[Manhattan
Distance]],Table14[Manhattan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SQRT((Table14[[#This Row],[sepal_length]]-$L$4)^2+(Table14[[#This Row],[sepal_width]]-$M$4)^2+(Table14[[#This Row],[petal_length]]-$N$4)^2+(Table14[[#This Row],[petal_width]]-$O$4)^2)</f>
        <v>1.2257650672131264</v>
      </c>
      <c r="H85" s="52">
        <f>RANK(Table14[[#This Row],[Euclidean
Distance]],Table14[Euclidean
Distance],1)</f>
        <v>44</v>
      </c>
      <c r="I85" s="101">
        <f>ABS(Table14[[#This Row],[sepal_length]]-$L$4)+ABS(Table14[[#This Row],[sepal_width]]-$M$4)+ABS(Table14[[#This Row],[petal_length]]-$N$4)+ABS(Table14[[#This Row],[petal_width]]-$O$4)</f>
        <v>1.85</v>
      </c>
      <c r="J85" s="70">
        <f>RANK(Table14[[#This Row],[Manhattan
Distance]],Table14[Manhattan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SQRT((Table14[[#This Row],[sepal_length]]-$L$4)^2+(Table14[[#This Row],[sepal_width]]-$M$4)^2+(Table14[[#This Row],[petal_length]]-$N$4)^2+(Table14[[#This Row],[petal_width]]-$O$4)^2)</f>
        <v>1.382931668593933</v>
      </c>
      <c r="H86" s="52">
        <f>RANK(Table14[[#This Row],[Euclidean
Distance]],Table14[Euclidean
Distance],1)</f>
        <v>56</v>
      </c>
      <c r="I86" s="101">
        <f>ABS(Table14[[#This Row],[sepal_length]]-$L$4)+ABS(Table14[[#This Row],[sepal_width]]-$M$4)+ABS(Table14[[#This Row],[petal_length]]-$N$4)+ABS(Table14[[#This Row],[petal_width]]-$O$4)</f>
        <v>1.9500000000000002</v>
      </c>
      <c r="J86" s="70">
        <f>RANK(Table14[[#This Row],[Manhattan
Distance]],Table14[Manhattan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SQRT((Table14[[#This Row],[sepal_length]]-$L$4)^2+(Table14[[#This Row],[sepal_width]]-$M$4)^2+(Table14[[#This Row],[petal_length]]-$N$4)^2+(Table14[[#This Row],[petal_width]]-$O$4)^2)</f>
        <v>1.0404326023342407</v>
      </c>
      <c r="H87" s="52">
        <f>RANK(Table14[[#This Row],[Euclidean
Distance]],Table14[Euclidean
Distance],1)</f>
        <v>31</v>
      </c>
      <c r="I87" s="101">
        <f>ABS(Table14[[#This Row],[sepal_length]]-$L$4)+ABS(Table14[[#This Row],[sepal_width]]-$M$4)+ABS(Table14[[#This Row],[petal_length]]-$N$4)+ABS(Table14[[#This Row],[petal_width]]-$O$4)</f>
        <v>1.8500000000000005</v>
      </c>
      <c r="J87" s="70">
        <f>RANK(Table14[[#This Row],[Manhattan
Distance]],Table14[Manhattan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SQRT((Table14[[#This Row],[sepal_length]]-$L$4)^2+(Table14[[#This Row],[sepal_width]]-$M$4)^2+(Table14[[#This Row],[petal_length]]-$N$4)^2+(Table14[[#This Row],[petal_width]]-$O$4)^2)</f>
        <v>0.69462219947249071</v>
      </c>
      <c r="H88" s="52">
        <f>RANK(Table14[[#This Row],[Euclidean
Distance]],Table14[Euclidean
Distance],1)</f>
        <v>9</v>
      </c>
      <c r="I88" s="101">
        <f>ABS(Table14[[#This Row],[sepal_length]]-$L$4)+ABS(Table14[[#This Row],[sepal_width]]-$M$4)+ABS(Table14[[#This Row],[petal_length]]-$N$4)+ABS(Table14[[#This Row],[petal_width]]-$O$4)</f>
        <v>0.95000000000000062</v>
      </c>
      <c r="J88" s="70">
        <f>RANK(Table14[[#This Row],[Manhattan
Distance]],Table14[Manhattan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SQRT((Table14[[#This Row],[sepal_length]]-$L$4)^2+(Table14[[#This Row],[sepal_width]]-$M$4)^2+(Table14[[#This Row],[petal_length]]-$N$4)^2+(Table14[[#This Row],[petal_width]]-$O$4)^2)</f>
        <v>0.70178344238091062</v>
      </c>
      <c r="H89" s="52">
        <f>RANK(Table14[[#This Row],[Euclidean
Distance]],Table14[Euclidean
Distance],1)</f>
        <v>10</v>
      </c>
      <c r="I89" s="101">
        <f>ABS(Table14[[#This Row],[sepal_length]]-$L$4)+ABS(Table14[[#This Row],[sepal_width]]-$M$4)+ABS(Table14[[#This Row],[petal_length]]-$N$4)+ABS(Table14[[#This Row],[petal_width]]-$O$4)</f>
        <v>1.3500000000000012</v>
      </c>
      <c r="J89" s="70">
        <f>RANK(Table14[[#This Row],[Manhattan
Distance]],Table14[Manhattan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SQRT((Table14[[#This Row],[sepal_length]]-$L$4)^2+(Table14[[#This Row],[sepal_width]]-$M$4)^2+(Table14[[#This Row],[petal_length]]-$N$4)^2+(Table14[[#This Row],[petal_width]]-$O$4)^2)</f>
        <v>1.1456439237389604</v>
      </c>
      <c r="H90" s="52">
        <f>RANK(Table14[[#This Row],[Euclidean
Distance]],Table14[Euclidean
Distance],1)</f>
        <v>39</v>
      </c>
      <c r="I90" s="101">
        <f>ABS(Table14[[#This Row],[sepal_length]]-$L$4)+ABS(Table14[[#This Row],[sepal_width]]-$M$4)+ABS(Table14[[#This Row],[petal_length]]-$N$4)+ABS(Table14[[#This Row],[petal_width]]-$O$4)</f>
        <v>1.5500000000000005</v>
      </c>
      <c r="J90" s="70">
        <f>RANK(Table14[[#This Row],[Manhattan
Distance]],Table14[Manhattan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SQRT((Table14[[#This Row],[sepal_length]]-$L$4)^2+(Table14[[#This Row],[sepal_width]]-$M$4)^2+(Table14[[#This Row],[petal_length]]-$N$4)^2+(Table14[[#This Row],[petal_width]]-$O$4)^2)</f>
        <v>1.2459935794377115</v>
      </c>
      <c r="H91" s="52">
        <f>RANK(Table14[[#This Row],[Euclidean
Distance]],Table14[Euclidean
Distance],1)</f>
        <v>46</v>
      </c>
      <c r="I91" s="101">
        <f>ABS(Table14[[#This Row],[sepal_length]]-$L$4)+ABS(Table14[[#This Row],[sepal_width]]-$M$4)+ABS(Table14[[#This Row],[petal_length]]-$N$4)+ABS(Table14[[#This Row],[petal_width]]-$O$4)</f>
        <v>1.7499999999999998</v>
      </c>
      <c r="J91" s="70">
        <f>RANK(Table14[[#This Row],[Manhattan
Distance]],Table14[Manhattan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SQRT((Table14[[#This Row],[sepal_length]]-$L$4)^2+(Table14[[#This Row],[sepal_width]]-$M$4)^2+(Table14[[#This Row],[petal_length]]-$N$4)^2+(Table14[[#This Row],[petal_width]]-$O$4)^2)</f>
        <v>1.28160056179763</v>
      </c>
      <c r="H92" s="52">
        <f>RANK(Table14[[#This Row],[Euclidean
Distance]],Table14[Euclidean
Distance],1)</f>
        <v>50</v>
      </c>
      <c r="I92" s="101">
        <f>ABS(Table14[[#This Row],[sepal_length]]-$L$4)+ABS(Table14[[#This Row],[sepal_width]]-$M$4)+ABS(Table14[[#This Row],[petal_length]]-$N$4)+ABS(Table14[[#This Row],[petal_width]]-$O$4)</f>
        <v>1.9500000000000008</v>
      </c>
      <c r="J92" s="70">
        <f>RANK(Table14[[#This Row],[Manhattan
Distance]],Table14[Manhattan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SQRT((Table14[[#This Row],[sepal_length]]-$L$4)^2+(Table14[[#This Row],[sepal_width]]-$M$4)^2+(Table14[[#This Row],[petal_length]]-$N$4)^2+(Table14[[#This Row],[petal_width]]-$O$4)^2)</f>
        <v>0.82613558209291571</v>
      </c>
      <c r="H93" s="52">
        <f>RANK(Table14[[#This Row],[Euclidean
Distance]],Table14[Euclidean
Distance],1)</f>
        <v>14</v>
      </c>
      <c r="I93" s="101">
        <f>ABS(Table14[[#This Row],[sepal_length]]-$L$4)+ABS(Table14[[#This Row],[sepal_width]]-$M$4)+ABS(Table14[[#This Row],[petal_length]]-$N$4)+ABS(Table14[[#This Row],[petal_width]]-$O$4)</f>
        <v>1.4500000000000006</v>
      </c>
      <c r="J93" s="70">
        <f>RANK(Table14[[#This Row],[Manhattan
Distance]],Table14[Manhattan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SQRT((Table14[[#This Row],[sepal_length]]-$L$4)^2+(Table14[[#This Row],[sepal_width]]-$M$4)^2+(Table14[[#This Row],[petal_length]]-$N$4)^2+(Table14[[#This Row],[petal_width]]-$O$4)^2)</f>
        <v>0.96566039579139862</v>
      </c>
      <c r="H94" s="52">
        <f>RANK(Table14[[#This Row],[Euclidean
Distance]],Table14[Euclidean
Distance],1)</f>
        <v>25</v>
      </c>
      <c r="I94" s="101">
        <f>ABS(Table14[[#This Row],[sepal_length]]-$L$4)+ABS(Table14[[#This Row],[sepal_width]]-$M$4)+ABS(Table14[[#This Row],[petal_length]]-$N$4)+ABS(Table14[[#This Row],[petal_width]]-$O$4)</f>
        <v>1.45</v>
      </c>
      <c r="J94" s="70">
        <f>RANK(Table14[[#This Row],[Manhattan
Distance]],Table14[Manhattan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SQRT((Table14[[#This Row],[sepal_length]]-$L$4)^2+(Table14[[#This Row],[sepal_width]]-$M$4)^2+(Table14[[#This Row],[petal_length]]-$N$4)^2+(Table14[[#This Row],[petal_width]]-$O$4)^2)</f>
        <v>1.9956202043475106</v>
      </c>
      <c r="H95" s="52">
        <f>RANK(Table14[[#This Row],[Euclidean
Distance]],Table14[Euclidean
Distance],1)</f>
        <v>85</v>
      </c>
      <c r="I95" s="101">
        <f>ABS(Table14[[#This Row],[sepal_length]]-$L$4)+ABS(Table14[[#This Row],[sepal_width]]-$M$4)+ABS(Table14[[#This Row],[petal_length]]-$N$4)+ABS(Table14[[#This Row],[petal_width]]-$O$4)</f>
        <v>3.45</v>
      </c>
      <c r="J95" s="70">
        <f>RANK(Table14[[#This Row],[Manhattan
Distance]],Table14[Manhattan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SQRT((Table14[[#This Row],[sepal_length]]-$L$4)^2+(Table14[[#This Row],[sepal_width]]-$M$4)^2+(Table14[[#This Row],[petal_length]]-$N$4)^2+(Table14[[#This Row],[petal_width]]-$O$4)^2)</f>
        <v>1.123610252712212</v>
      </c>
      <c r="H96" s="52">
        <f>RANK(Table14[[#This Row],[Euclidean
Distance]],Table14[Euclidean
Distance],1)</f>
        <v>38</v>
      </c>
      <c r="I96" s="101">
        <f>ABS(Table14[[#This Row],[sepal_length]]-$L$4)+ABS(Table14[[#This Row],[sepal_width]]-$M$4)+ABS(Table14[[#This Row],[petal_length]]-$N$4)+ABS(Table14[[#This Row],[petal_width]]-$O$4)</f>
        <v>1.4500000000000008</v>
      </c>
      <c r="J96" s="70">
        <f>RANK(Table14[[#This Row],[Manhattan
Distance]],Table14[Manhattan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SQRT((Table14[[#This Row],[sepal_length]]-$L$4)^2+(Table14[[#This Row],[sepal_width]]-$M$4)^2+(Table14[[#This Row],[petal_length]]-$N$4)^2+(Table14[[#This Row],[petal_width]]-$O$4)^2)</f>
        <v>1.0781929326423914</v>
      </c>
      <c r="H97" s="52">
        <f>RANK(Table14[[#This Row],[Euclidean
Distance]],Table14[Euclidean
Distance],1)</f>
        <v>34</v>
      </c>
      <c r="I97" s="101">
        <f>ABS(Table14[[#This Row],[sepal_length]]-$L$4)+ABS(Table14[[#This Row],[sepal_width]]-$M$4)+ABS(Table14[[#This Row],[petal_length]]-$N$4)+ABS(Table14[[#This Row],[petal_width]]-$O$4)</f>
        <v>1.6500000000000006</v>
      </c>
      <c r="J97" s="70">
        <f>RANK(Table14[[#This Row],[Manhattan
Distance]],Table14[Manhattan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SQRT((Table14[[#This Row],[sepal_length]]-$L$4)^2+(Table14[[#This Row],[sepal_width]]-$M$4)^2+(Table14[[#This Row],[petal_length]]-$N$4)^2+(Table14[[#This Row],[petal_width]]-$O$4)^2)</f>
        <v>1.0356157588603989</v>
      </c>
      <c r="H98" s="52">
        <f>RANK(Table14[[#This Row],[Euclidean
Distance]],Table14[Euclidean
Distance],1)</f>
        <v>30</v>
      </c>
      <c r="I98" s="101">
        <f>ABS(Table14[[#This Row],[sepal_length]]-$L$4)+ABS(Table14[[#This Row],[sepal_width]]-$M$4)+ABS(Table14[[#This Row],[petal_length]]-$N$4)+ABS(Table14[[#This Row],[petal_width]]-$O$4)</f>
        <v>1.4500000000000004</v>
      </c>
      <c r="J98" s="70">
        <f>RANK(Table14[[#This Row],[Manhattan
Distance]],Table14[Manhattan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SQRT((Table14[[#This Row],[sepal_length]]-$L$4)^2+(Table14[[#This Row],[sepal_width]]-$M$4)^2+(Table14[[#This Row],[petal_length]]-$N$4)^2+(Table14[[#This Row],[petal_width]]-$O$4)^2)</f>
        <v>0.59371710435189584</v>
      </c>
      <c r="H99" s="52">
        <f>RANK(Table14[[#This Row],[Euclidean
Distance]],Table14[Euclidean
Distance],1)</f>
        <v>6</v>
      </c>
      <c r="I99" s="101">
        <f>ABS(Table14[[#This Row],[sepal_length]]-$L$4)+ABS(Table14[[#This Row],[sepal_width]]-$M$4)+ABS(Table14[[#This Row],[petal_length]]-$N$4)+ABS(Table14[[#This Row],[petal_width]]-$O$4)</f>
        <v>1.05</v>
      </c>
      <c r="J99" s="70">
        <f>RANK(Table14[[#This Row],[Manhattan
Distance]],Table14[Manhattan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SQRT((Table14[[#This Row],[sepal_length]]-$L$4)^2+(Table14[[#This Row],[sepal_width]]-$M$4)^2+(Table14[[#This Row],[petal_length]]-$N$4)^2+(Table14[[#This Row],[petal_width]]-$O$4)^2)</f>
        <v>1.9981241202688089</v>
      </c>
      <c r="H100" s="52">
        <f>RANK(Table14[[#This Row],[Euclidean
Distance]],Table14[Euclidean
Distance],1)</f>
        <v>86</v>
      </c>
      <c r="I100" s="101">
        <f>ABS(Table14[[#This Row],[sepal_length]]-$L$4)+ABS(Table14[[#This Row],[sepal_width]]-$M$4)+ABS(Table14[[#This Row],[petal_length]]-$N$4)+ABS(Table14[[#This Row],[petal_width]]-$O$4)</f>
        <v>3.35</v>
      </c>
      <c r="J100" s="70">
        <f>RANK(Table14[[#This Row],[Manhattan
Distance]],Table14[Manhattan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SQRT((Table14[[#This Row],[sepal_length]]-$L$4)^2+(Table14[[#This Row],[sepal_width]]-$M$4)^2+(Table14[[#This Row],[petal_length]]-$N$4)^2+(Table14[[#This Row],[petal_width]]-$O$4)^2)</f>
        <v>1.0210288928331068</v>
      </c>
      <c r="H101" s="52">
        <f>RANK(Table14[[#This Row],[Euclidean
Distance]],Table14[Euclidean
Distance],1)</f>
        <v>27</v>
      </c>
      <c r="I101" s="101">
        <f>ABS(Table14[[#This Row],[sepal_length]]-$L$4)+ABS(Table14[[#This Row],[sepal_width]]-$M$4)+ABS(Table14[[#This Row],[petal_length]]-$N$4)+ABS(Table14[[#This Row],[petal_width]]-$O$4)</f>
        <v>1.2499999999999998</v>
      </c>
      <c r="J101" s="70">
        <f>RANK(Table14[[#This Row],[Manhattan
Distance]],Table14[Manhattan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SQRT((Table14[[#This Row],[sepal_length]]-$L$4)^2+(Table14[[#This Row],[sepal_width]]-$M$4)^2+(Table14[[#This Row],[petal_length]]-$N$4)^2+(Table14[[#This Row],[petal_width]]-$O$4)^2)</f>
        <v>2.2522211259110421</v>
      </c>
      <c r="H102" s="52">
        <f>RANK(Table14[[#This Row],[Euclidean
Distance]],Table14[Euclidean
Distance],1)</f>
        <v>92</v>
      </c>
      <c r="I102" s="101">
        <f>ABS(Table14[[#This Row],[sepal_length]]-$L$4)+ABS(Table14[[#This Row],[sepal_width]]-$M$4)+ABS(Table14[[#This Row],[petal_length]]-$N$4)+ABS(Table14[[#This Row],[petal_width]]-$O$4)</f>
        <v>3.8500000000000005</v>
      </c>
      <c r="J102" s="70">
        <f>RANK(Table14[[#This Row],[Manhattan
Distance]],Table14[Manhattan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SQRT((Table14[[#This Row],[sepal_length]]-$L$4)^2+(Table14[[#This Row],[sepal_width]]-$M$4)^2+(Table14[[#This Row],[petal_length]]-$N$4)^2+(Table14[[#This Row],[petal_width]]-$O$4)^2)</f>
        <v>1.4044571905188141</v>
      </c>
      <c r="H103" s="52">
        <f>RANK(Table14[[#This Row],[Euclidean
Distance]],Table14[Euclidean
Distance],1)</f>
        <v>59</v>
      </c>
      <c r="I103" s="101">
        <f>ABS(Table14[[#This Row],[sepal_length]]-$L$4)+ABS(Table14[[#This Row],[sepal_width]]-$M$4)+ABS(Table14[[#This Row],[petal_length]]-$N$4)+ABS(Table14[[#This Row],[petal_width]]-$O$4)</f>
        <v>2.35</v>
      </c>
      <c r="J103" s="70">
        <f>RANK(Table14[[#This Row],[Manhattan
Distance]],Table14[Manhattan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SQRT((Table14[[#This Row],[sepal_length]]-$L$4)^2+(Table14[[#This Row],[sepal_width]]-$M$4)^2+(Table14[[#This Row],[petal_length]]-$N$4)^2+(Table14[[#This Row],[petal_width]]-$O$4)^2)</f>
        <v>1.9551214796017158</v>
      </c>
      <c r="H104" s="52">
        <f>RANK(Table14[[#This Row],[Euclidean
Distance]],Table14[Euclidean
Distance],1)</f>
        <v>83</v>
      </c>
      <c r="I104" s="101">
        <f>ABS(Table14[[#This Row],[sepal_length]]-$L$4)+ABS(Table14[[#This Row],[sepal_width]]-$M$4)+ABS(Table14[[#This Row],[petal_length]]-$N$4)+ABS(Table14[[#This Row],[petal_width]]-$O$4)</f>
        <v>3.0500000000000003</v>
      </c>
      <c r="J104" s="70">
        <f>RANK(Table14[[#This Row],[Manhattan
Distance]],Table14[Manhattan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SQRT((Table14[[#This Row],[sepal_length]]-$L$4)^2+(Table14[[#This Row],[sepal_width]]-$M$4)^2+(Table14[[#This Row],[petal_length]]-$N$4)^2+(Table14[[#This Row],[petal_width]]-$O$4)^2)</f>
        <v>1.5882380174268591</v>
      </c>
      <c r="H105" s="52">
        <f>RANK(Table14[[#This Row],[Euclidean
Distance]],Table14[Euclidean
Distance],1)</f>
        <v>69</v>
      </c>
      <c r="I105" s="101">
        <f>ABS(Table14[[#This Row],[sepal_length]]-$L$4)+ABS(Table14[[#This Row],[sepal_width]]-$M$4)+ABS(Table14[[#This Row],[petal_length]]-$N$4)+ABS(Table14[[#This Row],[petal_width]]-$O$4)</f>
        <v>2.3500000000000005</v>
      </c>
      <c r="J105" s="70">
        <f>RANK(Table14[[#This Row],[Manhattan
Distance]],Table14[Manhattan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SQRT((Table14[[#This Row],[sepal_length]]-$L$4)^2+(Table14[[#This Row],[sepal_width]]-$M$4)^2+(Table14[[#This Row],[petal_length]]-$N$4)^2+(Table14[[#This Row],[petal_width]]-$O$4)^2)</f>
        <v>1.8661457606521525</v>
      </c>
      <c r="H106" s="52">
        <f>RANK(Table14[[#This Row],[Euclidean
Distance]],Table14[Euclidean
Distance],1)</f>
        <v>80</v>
      </c>
      <c r="I106" s="101">
        <f>ABS(Table14[[#This Row],[sepal_length]]-$L$4)+ABS(Table14[[#This Row],[sepal_width]]-$M$4)+ABS(Table14[[#This Row],[petal_length]]-$N$4)+ABS(Table14[[#This Row],[petal_width]]-$O$4)</f>
        <v>2.8500000000000005</v>
      </c>
      <c r="J106" s="70">
        <f>RANK(Table14[[#This Row],[Manhattan
Distance]],Table14[Manhattan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SQRT((Table14[[#This Row],[sepal_length]]-$L$4)^2+(Table14[[#This Row],[sepal_width]]-$M$4)^2+(Table14[[#This Row],[petal_length]]-$N$4)^2+(Table14[[#This Row],[petal_width]]-$O$4)^2)</f>
        <v>2.7354158733179856</v>
      </c>
      <c r="H107" s="52">
        <f>RANK(Table14[[#This Row],[Euclidean
Distance]],Table14[Euclidean
Distance],1)</f>
        <v>96</v>
      </c>
      <c r="I107" s="101">
        <f>ABS(Table14[[#This Row],[sepal_length]]-$L$4)+ABS(Table14[[#This Row],[sepal_width]]-$M$4)+ABS(Table14[[#This Row],[petal_length]]-$N$4)+ABS(Table14[[#This Row],[petal_width]]-$O$4)</f>
        <v>4.25</v>
      </c>
      <c r="J107" s="70">
        <f>RANK(Table14[[#This Row],[Manhattan
Distance]],Table14[Manhattan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SQRT((Table14[[#This Row],[sepal_length]]-$L$4)^2+(Table14[[#This Row],[sepal_width]]-$M$4)^2+(Table14[[#This Row],[petal_length]]-$N$4)^2+(Table14[[#This Row],[petal_width]]-$O$4)^2)</f>
        <v>1.8714967272212899</v>
      </c>
      <c r="H108" s="52">
        <f>RANK(Table14[[#This Row],[Euclidean
Distance]],Table14[Euclidean
Distance],1)</f>
        <v>81</v>
      </c>
      <c r="I108" s="101">
        <f>ABS(Table14[[#This Row],[sepal_length]]-$L$4)+ABS(Table14[[#This Row],[sepal_width]]-$M$4)+ABS(Table14[[#This Row],[petal_length]]-$N$4)+ABS(Table14[[#This Row],[petal_width]]-$O$4)</f>
        <v>2.6500000000000004</v>
      </c>
      <c r="J108" s="70">
        <f>RANK(Table14[[#This Row],[Manhattan
Distance]],Table14[Manhattan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SQRT((Table14[[#This Row],[sepal_length]]-$L$4)^2+(Table14[[#This Row],[sepal_width]]-$M$4)^2+(Table14[[#This Row],[petal_length]]-$N$4)^2+(Table14[[#This Row],[petal_width]]-$O$4)^2)</f>
        <v>2.3048861143232218</v>
      </c>
      <c r="H109" s="52">
        <f>RANK(Table14[[#This Row],[Euclidean
Distance]],Table14[Euclidean
Distance],1)</f>
        <v>93</v>
      </c>
      <c r="I109" s="101">
        <f>ABS(Table14[[#This Row],[sepal_length]]-$L$4)+ABS(Table14[[#This Row],[sepal_width]]-$M$4)+ABS(Table14[[#This Row],[petal_length]]-$N$4)+ABS(Table14[[#This Row],[petal_width]]-$O$4)</f>
        <v>3.25</v>
      </c>
      <c r="J109" s="70">
        <f>RANK(Table14[[#This Row],[Manhattan
Distance]],Table14[Manhattan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SQRT((Table14[[#This Row],[sepal_length]]-$L$4)^2+(Table14[[#This Row],[sepal_width]]-$M$4)^2+(Table14[[#This Row],[petal_length]]-$N$4)^2+(Table14[[#This Row],[petal_width]]-$O$4)^2)</f>
        <v>1.7442763542512409</v>
      </c>
      <c r="H110" s="52">
        <f>RANK(Table14[[#This Row],[Euclidean
Distance]],Table14[Euclidean
Distance],1)</f>
        <v>75</v>
      </c>
      <c r="I110" s="101">
        <f>ABS(Table14[[#This Row],[sepal_length]]-$L$4)+ABS(Table14[[#This Row],[sepal_width]]-$M$4)+ABS(Table14[[#This Row],[petal_length]]-$N$4)+ABS(Table14[[#This Row],[petal_width]]-$O$4)</f>
        <v>2.25</v>
      </c>
      <c r="J110" s="70">
        <f>RANK(Table14[[#This Row],[Manhattan
Distance]],Table14[Manhattan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SQRT((Table14[[#This Row],[sepal_length]]-$L$4)^2+(Table14[[#This Row],[sepal_width]]-$M$4)^2+(Table14[[#This Row],[petal_length]]-$N$4)^2+(Table14[[#This Row],[petal_width]]-$O$4)^2)</f>
        <v>2.4438698819699876</v>
      </c>
      <c r="H111" s="52">
        <f>RANK(Table14[[#This Row],[Euclidean
Distance]],Table14[Euclidean
Distance],1)</f>
        <v>95</v>
      </c>
      <c r="I111" s="101">
        <f>ABS(Table14[[#This Row],[sepal_length]]-$L$4)+ABS(Table14[[#This Row],[sepal_width]]-$M$4)+ABS(Table14[[#This Row],[petal_length]]-$N$4)+ABS(Table14[[#This Row],[petal_width]]-$O$4)</f>
        <v>4.3499999999999996</v>
      </c>
      <c r="J111" s="70">
        <f>RANK(Table14[[#This Row],[Manhattan
Distance]],Table14[Manhattan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SQRT((Table14[[#This Row],[sepal_length]]-$L$4)^2+(Table14[[#This Row],[sepal_width]]-$M$4)^2+(Table14[[#This Row],[petal_length]]-$N$4)^2+(Table14[[#This Row],[petal_width]]-$O$4)^2)</f>
        <v>1.2216791722870617</v>
      </c>
      <c r="H112" s="52">
        <f>RANK(Table14[[#This Row],[Euclidean
Distance]],Table14[Euclidean
Distance],1)</f>
        <v>43</v>
      </c>
      <c r="I112" s="101">
        <f>ABS(Table14[[#This Row],[sepal_length]]-$L$4)+ABS(Table14[[#This Row],[sepal_width]]-$M$4)+ABS(Table14[[#This Row],[petal_length]]-$N$4)+ABS(Table14[[#This Row],[petal_width]]-$O$4)</f>
        <v>2.1500000000000004</v>
      </c>
      <c r="J112" s="70">
        <f>RANK(Table14[[#This Row],[Manhattan
Distance]],Table14[Manhattan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SQRT((Table14[[#This Row],[sepal_length]]-$L$4)^2+(Table14[[#This Row],[sepal_width]]-$M$4)^2+(Table14[[#This Row],[petal_length]]-$N$4)^2+(Table14[[#This Row],[petal_width]]-$O$4)^2)</f>
        <v>1.3009611831257688</v>
      </c>
      <c r="H113" s="52">
        <f>RANK(Table14[[#This Row],[Euclidean
Distance]],Table14[Euclidean
Distance],1)</f>
        <v>51</v>
      </c>
      <c r="I113" s="101">
        <f>ABS(Table14[[#This Row],[sepal_length]]-$L$4)+ABS(Table14[[#This Row],[sepal_width]]-$M$4)+ABS(Table14[[#This Row],[petal_length]]-$N$4)+ABS(Table14[[#This Row],[petal_width]]-$O$4)</f>
        <v>1.9499999999999997</v>
      </c>
      <c r="J113" s="70">
        <f>RANK(Table14[[#This Row],[Manhattan
Distance]],Table14[Manhattan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SQRT((Table14[[#This Row],[sepal_length]]-$L$4)^2+(Table14[[#This Row],[sepal_width]]-$M$4)^2+(Table14[[#This Row],[petal_length]]-$N$4)^2+(Table14[[#This Row],[petal_width]]-$O$4)^2)</f>
        <v>1.5467708298258023</v>
      </c>
      <c r="H114" s="52">
        <f>RANK(Table14[[#This Row],[Euclidean
Distance]],Table14[Euclidean
Distance],1)</f>
        <v>68</v>
      </c>
      <c r="I114" s="101">
        <f>ABS(Table14[[#This Row],[sepal_length]]-$L$4)+ABS(Table14[[#This Row],[sepal_width]]-$M$4)+ABS(Table14[[#This Row],[petal_length]]-$N$4)+ABS(Table14[[#This Row],[petal_width]]-$O$4)</f>
        <v>2.35</v>
      </c>
      <c r="J114" s="70">
        <f>RANK(Table14[[#This Row],[Manhattan
Distance]],Table14[Manhattan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SQRT((Table14[[#This Row],[sepal_length]]-$L$4)^2+(Table14[[#This Row],[sepal_width]]-$M$4)^2+(Table14[[#This Row],[petal_length]]-$N$4)^2+(Table14[[#This Row],[petal_width]]-$O$4)^2)</f>
        <v>1.4568802284333466</v>
      </c>
      <c r="H115" s="52">
        <f>RANK(Table14[[#This Row],[Euclidean
Distance]],Table14[Euclidean
Distance],1)</f>
        <v>62</v>
      </c>
      <c r="I115" s="101">
        <f>ABS(Table14[[#This Row],[sepal_length]]-$L$4)+ABS(Table14[[#This Row],[sepal_width]]-$M$4)+ABS(Table14[[#This Row],[petal_length]]-$N$4)+ABS(Table14[[#This Row],[petal_width]]-$O$4)</f>
        <v>2.6500000000000004</v>
      </c>
      <c r="J115" s="70">
        <f>RANK(Table14[[#This Row],[Manhattan
Distance]],Table14[Manhattan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SQRT((Table14[[#This Row],[sepal_length]]-$L$4)^2+(Table14[[#This Row],[sepal_width]]-$M$4)^2+(Table14[[#This Row],[petal_length]]-$N$4)^2+(Table14[[#This Row],[petal_width]]-$O$4)^2)</f>
        <v>1.6194134740701649</v>
      </c>
      <c r="H116" s="52">
        <f>RANK(Table14[[#This Row],[Euclidean
Distance]],Table14[Euclidean
Distance],1)</f>
        <v>70</v>
      </c>
      <c r="I116" s="101">
        <f>ABS(Table14[[#This Row],[sepal_length]]-$L$4)+ABS(Table14[[#This Row],[sepal_width]]-$M$4)+ABS(Table14[[#This Row],[petal_length]]-$N$4)+ABS(Table14[[#This Row],[petal_width]]-$O$4)</f>
        <v>2.85</v>
      </c>
      <c r="J116" s="70">
        <f>RANK(Table14[[#This Row],[Manhattan
Distance]],Table14[Manhattan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SQRT((Table14[[#This Row],[sepal_length]]-$L$4)^2+(Table14[[#This Row],[sepal_width]]-$M$4)^2+(Table14[[#This Row],[petal_length]]-$N$4)^2+(Table14[[#This Row],[petal_width]]-$O$4)^2)</f>
        <v>1.5402921800749363</v>
      </c>
      <c r="H117" s="52">
        <f>RANK(Table14[[#This Row],[Euclidean
Distance]],Table14[Euclidean
Distance],1)</f>
        <v>67</v>
      </c>
      <c r="I117" s="101">
        <f>ABS(Table14[[#This Row],[sepal_length]]-$L$4)+ABS(Table14[[#This Row],[sepal_width]]-$M$4)+ABS(Table14[[#This Row],[petal_length]]-$N$4)+ABS(Table14[[#This Row],[petal_width]]-$O$4)</f>
        <v>2.75</v>
      </c>
      <c r="J117" s="70">
        <f>RANK(Table14[[#This Row],[Manhattan
Distance]],Table14[Manhattan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SQRT((Table14[[#This Row],[sepal_length]]-$L$4)^2+(Table14[[#This Row],[sepal_width]]-$M$4)^2+(Table14[[#This Row],[petal_length]]-$N$4)^2+(Table14[[#This Row],[petal_width]]-$O$4)^2)</f>
        <v>1.4671400751121213</v>
      </c>
      <c r="H118" s="52">
        <f>RANK(Table14[[#This Row],[Euclidean
Distance]],Table14[Euclidean
Distance],1)</f>
        <v>63</v>
      </c>
      <c r="I118" s="101">
        <f>ABS(Table14[[#This Row],[sepal_length]]-$L$4)+ABS(Table14[[#This Row],[sepal_width]]-$M$4)+ABS(Table14[[#This Row],[petal_length]]-$N$4)+ABS(Table14[[#This Row],[petal_width]]-$O$4)</f>
        <v>2.1500000000000004</v>
      </c>
      <c r="J118" s="70">
        <f>RANK(Table14[[#This Row],[Manhattan
Distance]],Table14[Manhattan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SQRT((Table14[[#This Row],[sepal_length]]-$L$4)^2+(Table14[[#This Row],[sepal_width]]-$M$4)^2+(Table14[[#This Row],[petal_length]]-$N$4)^2+(Table14[[#This Row],[petal_width]]-$O$4)^2)</f>
        <v>3.0581857366746061</v>
      </c>
      <c r="H119" s="52">
        <f>RANK(Table14[[#This Row],[Euclidean
Distance]],Table14[Euclidean
Distance],1)</f>
        <v>100</v>
      </c>
      <c r="I119" s="101">
        <f>ABS(Table14[[#This Row],[sepal_length]]-$L$4)+ABS(Table14[[#This Row],[sepal_width]]-$M$4)+ABS(Table14[[#This Row],[petal_length]]-$N$4)+ABS(Table14[[#This Row],[petal_width]]-$O$4)</f>
        <v>5.3500000000000005</v>
      </c>
      <c r="J119" s="70">
        <f>RANK(Table14[[#This Row],[Manhattan
Distance]],Table14[Manhattan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SQRT((Table14[[#This Row],[sepal_length]]-$L$4)^2+(Table14[[#This Row],[sepal_width]]-$M$4)^2+(Table14[[#This Row],[petal_length]]-$N$4)^2+(Table14[[#This Row],[petal_width]]-$O$4)^2)</f>
        <v>3.0826125283596713</v>
      </c>
      <c r="H120" s="52">
        <f>RANK(Table14[[#This Row],[Euclidean
Distance]],Table14[Euclidean
Distance],1)</f>
        <v>101</v>
      </c>
      <c r="I120" s="101">
        <f>ABS(Table14[[#This Row],[sepal_length]]-$L$4)+ABS(Table14[[#This Row],[sepal_width]]-$M$4)+ABS(Table14[[#This Row],[petal_length]]-$N$4)+ABS(Table14[[#This Row],[petal_width]]-$O$4)</f>
        <v>4.75</v>
      </c>
      <c r="J120" s="70">
        <f>RANK(Table14[[#This Row],[Manhattan
Distance]],Table14[Manhattan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SQRT((Table14[[#This Row],[sepal_length]]-$L$4)^2+(Table14[[#This Row],[sepal_width]]-$M$4)^2+(Table14[[#This Row],[petal_length]]-$N$4)^2+(Table14[[#This Row],[petal_width]]-$O$4)^2)</f>
        <v>1.2658988901172166</v>
      </c>
      <c r="H121" s="52">
        <f>RANK(Table14[[#This Row],[Euclidean
Distance]],Table14[Euclidean
Distance],1)</f>
        <v>48</v>
      </c>
      <c r="I121" s="101">
        <f>ABS(Table14[[#This Row],[sepal_length]]-$L$4)+ABS(Table14[[#This Row],[sepal_width]]-$M$4)+ABS(Table14[[#This Row],[petal_length]]-$N$4)+ABS(Table14[[#This Row],[petal_width]]-$O$4)</f>
        <v>2.1500000000000004</v>
      </c>
      <c r="J121" s="70">
        <f>RANK(Table14[[#This Row],[Manhattan
Distance]],Table14[Manhattan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SQRT((Table14[[#This Row],[sepal_length]]-$L$4)^2+(Table14[[#This Row],[sepal_width]]-$M$4)^2+(Table14[[#This Row],[petal_length]]-$N$4)^2+(Table14[[#This Row],[petal_width]]-$O$4)^2)</f>
        <v>1.8553975315279476</v>
      </c>
      <c r="H122" s="52">
        <f>RANK(Table14[[#This Row],[Euclidean
Distance]],Table14[Euclidean
Distance],1)</f>
        <v>79</v>
      </c>
      <c r="I122" s="101">
        <f>ABS(Table14[[#This Row],[sepal_length]]-$L$4)+ABS(Table14[[#This Row],[sepal_width]]-$M$4)+ABS(Table14[[#This Row],[petal_length]]-$N$4)+ABS(Table14[[#This Row],[petal_width]]-$O$4)</f>
        <v>3.0500000000000007</v>
      </c>
      <c r="J122" s="70">
        <f>RANK(Table14[[#This Row],[Manhattan
Distance]],Table14[Manhattan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SQRT((Table14[[#This Row],[sepal_length]]-$L$4)^2+(Table14[[#This Row],[sepal_width]]-$M$4)^2+(Table14[[#This Row],[petal_length]]-$N$4)^2+(Table14[[#This Row],[petal_width]]-$O$4)^2)</f>
        <v>1.4500000000000008</v>
      </c>
      <c r="H123" s="52">
        <f>RANK(Table14[[#This Row],[Euclidean
Distance]],Table14[Euclidean
Distance],1)</f>
        <v>61</v>
      </c>
      <c r="I123" s="101">
        <f>ABS(Table14[[#This Row],[sepal_length]]-$L$4)+ABS(Table14[[#This Row],[sepal_width]]-$M$4)+ABS(Table14[[#This Row],[petal_length]]-$N$4)+ABS(Table14[[#This Row],[petal_width]]-$O$4)</f>
        <v>2.4500000000000011</v>
      </c>
      <c r="J123" s="70">
        <f>RANK(Table14[[#This Row],[Manhattan
Distance]],Table14[Manhattan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SQRT((Table14[[#This Row],[sepal_length]]-$L$4)^2+(Table14[[#This Row],[sepal_width]]-$M$4)^2+(Table14[[#This Row],[petal_length]]-$N$4)^2+(Table14[[#This Row],[petal_width]]-$O$4)^2)</f>
        <v>2.8306359709436326</v>
      </c>
      <c r="H124" s="52">
        <f>RANK(Table14[[#This Row],[Euclidean
Distance]],Table14[Euclidean
Distance],1)</f>
        <v>97</v>
      </c>
      <c r="I124" s="101">
        <f>ABS(Table14[[#This Row],[sepal_length]]-$L$4)+ABS(Table14[[#This Row],[sepal_width]]-$M$4)+ABS(Table14[[#This Row],[petal_length]]-$N$4)+ABS(Table14[[#This Row],[petal_width]]-$O$4)</f>
        <v>4.1500000000000004</v>
      </c>
      <c r="J124" s="70">
        <f>RANK(Table14[[#This Row],[Manhattan
Distance]],Table14[Manhattan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SQRT((Table14[[#This Row],[sepal_length]]-$L$4)^2+(Table14[[#This Row],[sepal_width]]-$M$4)^2+(Table14[[#This Row],[petal_length]]-$N$4)^2+(Table14[[#This Row],[petal_width]]-$O$4)^2)</f>
        <v>0.94472218138455999</v>
      </c>
      <c r="H125" s="52">
        <f>RANK(Table14[[#This Row],[Euclidean
Distance]],Table14[Euclidean
Distance],1)</f>
        <v>23</v>
      </c>
      <c r="I125" s="101">
        <f>ABS(Table14[[#This Row],[sepal_length]]-$L$4)+ABS(Table14[[#This Row],[sepal_width]]-$M$4)+ABS(Table14[[#This Row],[petal_length]]-$N$4)+ABS(Table14[[#This Row],[petal_width]]-$O$4)</f>
        <v>1.5500000000000009</v>
      </c>
      <c r="J125" s="70">
        <f>RANK(Table14[[#This Row],[Manhattan
Distance]],Table14[Manhattan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SQRT((Table14[[#This Row],[sepal_length]]-$L$4)^2+(Table14[[#This Row],[sepal_width]]-$M$4)^2+(Table14[[#This Row],[petal_length]]-$N$4)^2+(Table14[[#This Row],[petal_width]]-$O$4)^2)</f>
        <v>1.7951323071016247</v>
      </c>
      <c r="H126" s="52">
        <f>RANK(Table14[[#This Row],[Euclidean
Distance]],Table14[Euclidean
Distance],1)</f>
        <v>78</v>
      </c>
      <c r="I126" s="101">
        <f>ABS(Table14[[#This Row],[sepal_length]]-$L$4)+ABS(Table14[[#This Row],[sepal_width]]-$M$4)+ABS(Table14[[#This Row],[petal_length]]-$N$4)+ABS(Table14[[#This Row],[petal_width]]-$O$4)</f>
        <v>2.7500000000000004</v>
      </c>
      <c r="J126" s="70">
        <f>RANK(Table14[[#This Row],[Manhattan
Distance]],Table14[Manhattan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SQRT((Table14[[#This Row],[sepal_length]]-$L$4)^2+(Table14[[#This Row],[sepal_width]]-$M$4)^2+(Table14[[#This Row],[petal_length]]-$N$4)^2+(Table14[[#This Row],[petal_width]]-$O$4)^2)</f>
        <v>2.0377683872314836</v>
      </c>
      <c r="H127" s="52">
        <f>RANK(Table14[[#This Row],[Euclidean
Distance]],Table14[Euclidean
Distance],1)</f>
        <v>89</v>
      </c>
      <c r="I127" s="101">
        <f>ABS(Table14[[#This Row],[sepal_length]]-$L$4)+ABS(Table14[[#This Row],[sepal_width]]-$M$4)+ABS(Table14[[#This Row],[petal_length]]-$N$4)+ABS(Table14[[#This Row],[petal_width]]-$O$4)</f>
        <v>3.1500000000000004</v>
      </c>
      <c r="J127" s="70">
        <f>RANK(Table14[[#This Row],[Manhattan
Distance]],Table14[Manhattan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SQRT((Table14[[#This Row],[sepal_length]]-$L$4)^2+(Table14[[#This Row],[sepal_width]]-$M$4)^2+(Table14[[#This Row],[petal_length]]-$N$4)^2+(Table14[[#This Row],[petal_width]]-$O$4)^2)</f>
        <v>0.91241437954473303</v>
      </c>
      <c r="H128" s="52">
        <f>RANK(Table14[[#This Row],[Euclidean
Distance]],Table14[Euclidean
Distance],1)</f>
        <v>20</v>
      </c>
      <c r="I128" s="101">
        <f>ABS(Table14[[#This Row],[sepal_length]]-$L$4)+ABS(Table14[[#This Row],[sepal_width]]-$M$4)+ABS(Table14[[#This Row],[petal_length]]-$N$4)+ABS(Table14[[#This Row],[petal_width]]-$O$4)</f>
        <v>1.55</v>
      </c>
      <c r="J128" s="70">
        <f>RANK(Table14[[#This Row],[Manhattan
Distance]],Table14[Manhattan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SQRT((Table14[[#This Row],[sepal_length]]-$L$4)^2+(Table14[[#This Row],[sepal_width]]-$M$4)^2+(Table14[[#This Row],[petal_length]]-$N$4)^2+(Table14[[#This Row],[petal_width]]-$O$4)^2)</f>
        <v>1.0735455276791952</v>
      </c>
      <c r="H129" s="52">
        <f>RANK(Table14[[#This Row],[Euclidean
Distance]],Table14[Euclidean
Distance],1)</f>
        <v>33</v>
      </c>
      <c r="I129" s="101">
        <f>ABS(Table14[[#This Row],[sepal_length]]-$L$4)+ABS(Table14[[#This Row],[sepal_width]]-$M$4)+ABS(Table14[[#This Row],[petal_length]]-$N$4)+ABS(Table14[[#This Row],[petal_width]]-$O$4)</f>
        <v>1.9500000000000013</v>
      </c>
      <c r="J129" s="70">
        <f>RANK(Table14[[#This Row],[Manhattan
Distance]],Table14[Manhattan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SQRT((Table14[[#This Row],[sepal_length]]-$L$4)^2+(Table14[[#This Row],[sepal_width]]-$M$4)^2+(Table14[[#This Row],[petal_length]]-$N$4)^2+(Table14[[#This Row],[petal_width]]-$O$4)^2)</f>
        <v>1.6439282222773595</v>
      </c>
      <c r="H130" s="52">
        <f>RANK(Table14[[#This Row],[Euclidean
Distance]],Table14[Euclidean
Distance],1)</f>
        <v>72</v>
      </c>
      <c r="I130" s="101">
        <f>ABS(Table14[[#This Row],[sepal_length]]-$L$4)+ABS(Table14[[#This Row],[sepal_width]]-$M$4)+ABS(Table14[[#This Row],[petal_length]]-$N$4)+ABS(Table14[[#This Row],[petal_width]]-$O$4)</f>
        <v>2.4499999999999997</v>
      </c>
      <c r="J130" s="70">
        <f>RANK(Table14[[#This Row],[Manhattan
Distance]],Table14[Manhattan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SQRT((Table14[[#This Row],[sepal_length]]-$L$4)^2+(Table14[[#This Row],[sepal_width]]-$M$4)^2+(Table14[[#This Row],[petal_length]]-$N$4)^2+(Table14[[#This Row],[petal_width]]-$O$4)^2)</f>
        <v>1.7923448328934923</v>
      </c>
      <c r="H131" s="52">
        <f>RANK(Table14[[#This Row],[Euclidean
Distance]],Table14[Euclidean
Distance],1)</f>
        <v>77</v>
      </c>
      <c r="I131" s="101">
        <f>ABS(Table14[[#This Row],[sepal_length]]-$L$4)+ABS(Table14[[#This Row],[sepal_width]]-$M$4)+ABS(Table14[[#This Row],[petal_length]]-$N$4)+ABS(Table14[[#This Row],[petal_width]]-$O$4)</f>
        <v>2.5500000000000003</v>
      </c>
      <c r="J131" s="70">
        <f>RANK(Table14[[#This Row],[Manhattan
Distance]],Table14[Manhattan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SQRT((Table14[[#This Row],[sepal_length]]-$L$4)^2+(Table14[[#This Row],[sepal_width]]-$M$4)^2+(Table14[[#This Row],[petal_length]]-$N$4)^2+(Table14[[#This Row],[petal_width]]-$O$4)^2)</f>
        <v>2.1569654610122995</v>
      </c>
      <c r="H132" s="52">
        <f>RANK(Table14[[#This Row],[Euclidean
Distance]],Table14[Euclidean
Distance],1)</f>
        <v>91</v>
      </c>
      <c r="I132" s="101">
        <f>ABS(Table14[[#This Row],[sepal_length]]-$L$4)+ABS(Table14[[#This Row],[sepal_width]]-$M$4)+ABS(Table14[[#This Row],[petal_length]]-$N$4)+ABS(Table14[[#This Row],[petal_width]]-$O$4)</f>
        <v>3.15</v>
      </c>
      <c r="J132" s="70">
        <f>RANK(Table14[[#This Row],[Manhattan
Distance]],Table14[Manhattan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SQRT((Table14[[#This Row],[sepal_length]]-$L$4)^2+(Table14[[#This Row],[sepal_width]]-$M$4)^2+(Table14[[#This Row],[petal_length]]-$N$4)^2+(Table14[[#This Row],[petal_width]]-$O$4)^2)</f>
        <v>2.8429737951659004</v>
      </c>
      <c r="H133" s="52">
        <f>RANK(Table14[[#This Row],[Euclidean
Distance]],Table14[Euclidean
Distance],1)</f>
        <v>98</v>
      </c>
      <c r="I133" s="101">
        <f>ABS(Table14[[#This Row],[sepal_length]]-$L$4)+ABS(Table14[[#This Row],[sepal_width]]-$M$4)+ABS(Table14[[#This Row],[petal_length]]-$N$4)+ABS(Table14[[#This Row],[petal_width]]-$O$4)</f>
        <v>5.0500000000000007</v>
      </c>
      <c r="J133" s="70">
        <f>RANK(Table14[[#This Row],[Manhattan
Distance]],Table14[Manhattan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SQRT((Table14[[#This Row],[sepal_length]]-$L$4)^2+(Table14[[#This Row],[sepal_width]]-$M$4)^2+(Table14[[#This Row],[petal_length]]-$N$4)^2+(Table14[[#This Row],[petal_width]]-$O$4)^2)</f>
        <v>1.6830032679706834</v>
      </c>
      <c r="H134" s="52">
        <f>RANK(Table14[[#This Row],[Euclidean
Distance]],Table14[Euclidean
Distance],1)</f>
        <v>73</v>
      </c>
      <c r="I134" s="101">
        <f>ABS(Table14[[#This Row],[sepal_length]]-$L$4)+ABS(Table14[[#This Row],[sepal_width]]-$M$4)+ABS(Table14[[#This Row],[petal_length]]-$N$4)+ABS(Table14[[#This Row],[petal_width]]-$O$4)</f>
        <v>2.5499999999999998</v>
      </c>
      <c r="J134" s="70">
        <f>RANK(Table14[[#This Row],[Manhattan
Distance]],Table14[Manhattan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SQRT((Table14[[#This Row],[sepal_length]]-$L$4)^2+(Table14[[#This Row],[sepal_width]]-$M$4)^2+(Table14[[#This Row],[petal_length]]-$N$4)^2+(Table14[[#This Row],[petal_width]]-$O$4)^2)</f>
        <v>1.0781929326423914</v>
      </c>
      <c r="H135" s="52">
        <f>RANK(Table14[[#This Row],[Euclidean
Distance]],Table14[Euclidean
Distance],1)</f>
        <v>34</v>
      </c>
      <c r="I135" s="101">
        <f>ABS(Table14[[#This Row],[sepal_length]]-$L$4)+ABS(Table14[[#This Row],[sepal_width]]-$M$4)+ABS(Table14[[#This Row],[petal_length]]-$N$4)+ABS(Table14[[#This Row],[petal_width]]-$O$4)</f>
        <v>1.4500000000000002</v>
      </c>
      <c r="J135" s="70">
        <f>RANK(Table14[[#This Row],[Manhattan
Distance]],Table14[Manhattan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SQRT((Table14[[#This Row],[sepal_length]]-$L$4)^2+(Table14[[#This Row],[sepal_width]]-$M$4)^2+(Table14[[#This Row],[petal_length]]-$N$4)^2+(Table14[[#This Row],[petal_width]]-$O$4)^2)</f>
        <v>1.625576820700886</v>
      </c>
      <c r="H136" s="52">
        <f>RANK(Table14[[#This Row],[Euclidean
Distance]],Table14[Euclidean
Distance],1)</f>
        <v>71</v>
      </c>
      <c r="I136" s="101">
        <f>ABS(Table14[[#This Row],[sepal_length]]-$L$4)+ABS(Table14[[#This Row],[sepal_width]]-$M$4)+ABS(Table14[[#This Row],[petal_length]]-$N$4)+ABS(Table14[[#This Row],[petal_width]]-$O$4)</f>
        <v>2.3500000000000005</v>
      </c>
      <c r="J136" s="70">
        <f>RANK(Table14[[#This Row],[Manhattan
Distance]],Table14[Manhattan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SQRT((Table14[[#This Row],[sepal_length]]-$L$4)^2+(Table14[[#This Row],[sepal_width]]-$M$4)^2+(Table14[[#This Row],[petal_length]]-$N$4)^2+(Table14[[#This Row],[petal_width]]-$O$4)^2)</f>
        <v>2.3879907872519106</v>
      </c>
      <c r="H137" s="52">
        <f>RANK(Table14[[#This Row],[Euclidean
Distance]],Table14[Euclidean
Distance],1)</f>
        <v>94</v>
      </c>
      <c r="I137" s="101">
        <f>ABS(Table14[[#This Row],[sepal_length]]-$L$4)+ABS(Table14[[#This Row],[sepal_width]]-$M$4)+ABS(Table14[[#This Row],[petal_length]]-$N$4)+ABS(Table14[[#This Row],[petal_width]]-$O$4)</f>
        <v>4.05</v>
      </c>
      <c r="J137" s="70">
        <f>RANK(Table14[[#This Row],[Manhattan
Distance]],Table14[Manhattan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SQRT((Table14[[#This Row],[sepal_length]]-$L$4)^2+(Table14[[#This Row],[sepal_width]]-$M$4)^2+(Table14[[#This Row],[petal_length]]-$N$4)^2+(Table14[[#This Row],[petal_width]]-$O$4)^2)</f>
        <v>1.9085334683992314</v>
      </c>
      <c r="H138" s="52">
        <f>RANK(Table14[[#This Row],[Euclidean
Distance]],Table14[Euclidean
Distance],1)</f>
        <v>82</v>
      </c>
      <c r="I138" s="101">
        <f>ABS(Table14[[#This Row],[sepal_length]]-$L$4)+ABS(Table14[[#This Row],[sepal_width]]-$M$4)+ABS(Table14[[#This Row],[petal_length]]-$N$4)+ABS(Table14[[#This Row],[petal_width]]-$O$4)</f>
        <v>3.45</v>
      </c>
      <c r="J138" s="70">
        <f>RANK(Table14[[#This Row],[Manhattan
Distance]],Table14[Manhattan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SQRT((Table14[[#This Row],[sepal_length]]-$L$4)^2+(Table14[[#This Row],[sepal_width]]-$M$4)^2+(Table14[[#This Row],[petal_length]]-$N$4)^2+(Table14[[#This Row],[petal_width]]-$O$4)^2)</f>
        <v>1.5041608956491328</v>
      </c>
      <c r="H139" s="52">
        <f>RANK(Table14[[#This Row],[Euclidean
Distance]],Table14[Euclidean
Distance],1)</f>
        <v>65</v>
      </c>
      <c r="I139" s="101">
        <f>ABS(Table14[[#This Row],[sepal_length]]-$L$4)+ABS(Table14[[#This Row],[sepal_width]]-$M$4)+ABS(Table14[[#This Row],[petal_length]]-$N$4)+ABS(Table14[[#This Row],[petal_width]]-$O$4)</f>
        <v>2.3500000000000005</v>
      </c>
      <c r="J139" s="70">
        <f>RANK(Table14[[#This Row],[Manhattan
Distance]],Table14[Manhattan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SQRT((Table14[[#This Row],[sepal_length]]-$L$4)^2+(Table14[[#This Row],[sepal_width]]-$M$4)^2+(Table14[[#This Row],[petal_length]]-$N$4)^2+(Table14[[#This Row],[petal_width]]-$O$4)^2)</f>
        <v>1.0641898326896384</v>
      </c>
      <c r="H140" s="52">
        <f>RANK(Table14[[#This Row],[Euclidean
Distance]],Table14[Euclidean
Distance],1)</f>
        <v>32</v>
      </c>
      <c r="I140" s="101">
        <f>ABS(Table14[[#This Row],[sepal_length]]-$L$4)+ABS(Table14[[#This Row],[sepal_width]]-$M$4)+ABS(Table14[[#This Row],[petal_length]]-$N$4)+ABS(Table14[[#This Row],[petal_width]]-$O$4)</f>
        <v>1.9500000000000004</v>
      </c>
      <c r="J140" s="70">
        <f>RANK(Table14[[#This Row],[Manhattan
Distance]],Table14[Manhattan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SQRT((Table14[[#This Row],[sepal_length]]-$L$4)^2+(Table14[[#This Row],[sepal_width]]-$M$4)^2+(Table14[[#This Row],[petal_length]]-$N$4)^2+(Table14[[#This Row],[petal_width]]-$O$4)^2)</f>
        <v>1.4874474780643525</v>
      </c>
      <c r="H141" s="52">
        <f>RANK(Table14[[#This Row],[Euclidean
Distance]],Table14[Euclidean
Distance],1)</f>
        <v>64</v>
      </c>
      <c r="I141" s="101">
        <f>ABS(Table14[[#This Row],[sepal_length]]-$L$4)+ABS(Table14[[#This Row],[sepal_width]]-$M$4)+ABS(Table14[[#This Row],[petal_length]]-$N$4)+ABS(Table14[[#This Row],[petal_width]]-$O$4)</f>
        <v>2.4500000000000011</v>
      </c>
      <c r="J141" s="70">
        <f>RANK(Table14[[#This Row],[Manhattan
Distance]],Table14[Manhattan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SQRT((Table14[[#This Row],[sepal_length]]-$L$4)^2+(Table14[[#This Row],[sepal_width]]-$M$4)^2+(Table14[[#This Row],[petal_length]]-$N$4)^2+(Table14[[#This Row],[petal_width]]-$O$4)^2)</f>
        <v>1.7839562774911273</v>
      </c>
      <c r="H142" s="52">
        <f>RANK(Table14[[#This Row],[Euclidean
Distance]],Table14[Euclidean
Distance],1)</f>
        <v>76</v>
      </c>
      <c r="I142" s="101">
        <f>ABS(Table14[[#This Row],[sepal_length]]-$L$4)+ABS(Table14[[#This Row],[sepal_width]]-$M$4)+ABS(Table14[[#This Row],[petal_length]]-$N$4)+ABS(Table14[[#This Row],[petal_width]]-$O$4)</f>
        <v>2.75</v>
      </c>
      <c r="J142" s="70">
        <f>RANK(Table14[[#This Row],[Manhattan
Distance]],Table14[Manhattan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SQRT((Table14[[#This Row],[sepal_length]]-$L$4)^2+(Table14[[#This Row],[sepal_width]]-$M$4)^2+(Table14[[#This Row],[petal_length]]-$N$4)^2+(Table14[[#This Row],[petal_width]]-$O$4)^2)</f>
        <v>1.3425721582097552</v>
      </c>
      <c r="H143" s="52">
        <f>RANK(Table14[[#This Row],[Euclidean
Distance]],Table14[Euclidean
Distance],1)</f>
        <v>54</v>
      </c>
      <c r="I143" s="101">
        <f>ABS(Table14[[#This Row],[sepal_length]]-$L$4)+ABS(Table14[[#This Row],[sepal_width]]-$M$4)+ABS(Table14[[#This Row],[petal_length]]-$N$4)+ABS(Table14[[#This Row],[petal_width]]-$O$4)</f>
        <v>2.35</v>
      </c>
      <c r="J143" s="70">
        <f>RANK(Table14[[#This Row],[Manhattan
Distance]],Table14[Manhattan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SQRT((Table14[[#This Row],[sepal_length]]-$L$4)^2+(Table14[[#This Row],[sepal_width]]-$M$4)^2+(Table14[[#This Row],[petal_length]]-$N$4)^2+(Table14[[#This Row],[petal_width]]-$O$4)^2)</f>
        <v>1.4044571905188141</v>
      </c>
      <c r="H144" s="52">
        <f>RANK(Table14[[#This Row],[Euclidean
Distance]],Table14[Euclidean
Distance],1)</f>
        <v>59</v>
      </c>
      <c r="I144" s="101">
        <f>ABS(Table14[[#This Row],[sepal_length]]-$L$4)+ABS(Table14[[#This Row],[sepal_width]]-$M$4)+ABS(Table14[[#This Row],[petal_length]]-$N$4)+ABS(Table14[[#This Row],[petal_width]]-$O$4)</f>
        <v>2.35</v>
      </c>
      <c r="J144" s="70">
        <f>RANK(Table14[[#This Row],[Manhattan
Distance]],Table14[Manhattan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SQRT((Table14[[#This Row],[sepal_length]]-$L$4)^2+(Table14[[#This Row],[sepal_width]]-$M$4)^2+(Table14[[#This Row],[petal_length]]-$N$4)^2+(Table14[[#This Row],[petal_width]]-$O$4)^2)</f>
        <v>2.0229928324143915</v>
      </c>
      <c r="H145" s="52">
        <f>RANK(Table14[[#This Row],[Euclidean
Distance]],Table14[Euclidean
Distance],1)</f>
        <v>88</v>
      </c>
      <c r="I145" s="101">
        <f>ABS(Table14[[#This Row],[sepal_length]]-$L$4)+ABS(Table14[[#This Row],[sepal_width]]-$M$4)+ABS(Table14[[#This Row],[petal_length]]-$N$4)+ABS(Table14[[#This Row],[petal_width]]-$O$4)</f>
        <v>3.1500000000000004</v>
      </c>
      <c r="J145" s="70">
        <f>RANK(Table14[[#This Row],[Manhattan
Distance]],Table14[Manhattan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SQRT((Table14[[#This Row],[sepal_length]]-$L$4)^2+(Table14[[#This Row],[sepal_width]]-$M$4)^2+(Table14[[#This Row],[petal_length]]-$N$4)^2+(Table14[[#This Row],[petal_width]]-$O$4)^2)</f>
        <v>1.965324400703355</v>
      </c>
      <c r="H146" s="52">
        <f>RANK(Table14[[#This Row],[Euclidean
Distance]],Table14[Euclidean
Distance],1)</f>
        <v>84</v>
      </c>
      <c r="I146" s="101">
        <f>ABS(Table14[[#This Row],[sepal_length]]-$L$4)+ABS(Table14[[#This Row],[sepal_width]]-$M$4)+ABS(Table14[[#This Row],[petal_length]]-$N$4)+ABS(Table14[[#This Row],[petal_width]]-$O$4)</f>
        <v>3.1500000000000004</v>
      </c>
      <c r="J146" s="70">
        <f>RANK(Table14[[#This Row],[Manhattan
Distance]],Table14[Manhattan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SQRT((Table14[[#This Row],[sepal_length]]-$L$4)^2+(Table14[[#This Row],[sepal_width]]-$M$4)^2+(Table14[[#This Row],[petal_length]]-$N$4)^2+(Table14[[#This Row],[petal_width]]-$O$4)^2)</f>
        <v>1.3829316685939335</v>
      </c>
      <c r="H147" s="52">
        <f>RANK(Table14[[#This Row],[Euclidean
Distance]],Table14[Euclidean
Distance],1)</f>
        <v>57</v>
      </c>
      <c r="I147" s="101">
        <f>ABS(Table14[[#This Row],[sepal_length]]-$L$4)+ABS(Table14[[#This Row],[sepal_width]]-$M$4)+ABS(Table14[[#This Row],[petal_length]]-$N$4)+ABS(Table14[[#This Row],[petal_width]]-$O$4)</f>
        <v>2.1500000000000004</v>
      </c>
      <c r="J147" s="70">
        <f>RANK(Table14[[#This Row],[Manhattan
Distance]],Table14[Manhattan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SQRT((Table14[[#This Row],[sepal_length]]-$L$4)^2+(Table14[[#This Row],[sepal_width]]-$M$4)^2+(Table14[[#This Row],[petal_length]]-$N$4)^2+(Table14[[#This Row],[petal_width]]-$O$4)^2)</f>
        <v>1.092016483392078</v>
      </c>
      <c r="H148" s="52">
        <f>RANK(Table14[[#This Row],[Euclidean
Distance]],Table14[Euclidean
Distance],1)</f>
        <v>36</v>
      </c>
      <c r="I148" s="101">
        <f>ABS(Table14[[#This Row],[sepal_length]]-$L$4)+ABS(Table14[[#This Row],[sepal_width]]-$M$4)+ABS(Table14[[#This Row],[petal_length]]-$N$4)+ABS(Table14[[#This Row],[petal_width]]-$O$4)</f>
        <v>1.9500000000000006</v>
      </c>
      <c r="J148" s="70">
        <f>RANK(Table14[[#This Row],[Manhattan
Distance]],Table14[Manhattan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SQRT((Table14[[#This Row],[sepal_length]]-$L$4)^2+(Table14[[#This Row],[sepal_width]]-$M$4)^2+(Table14[[#This Row],[petal_length]]-$N$4)^2+(Table14[[#This Row],[petal_width]]-$O$4)^2)</f>
        <v>1.2500000000000004</v>
      </c>
      <c r="H149" s="52">
        <f>RANK(Table14[[#This Row],[Euclidean
Distance]],Table14[Euclidean
Distance],1)</f>
        <v>47</v>
      </c>
      <c r="I149" s="101">
        <f>ABS(Table14[[#This Row],[sepal_length]]-$L$4)+ABS(Table14[[#This Row],[sepal_width]]-$M$4)+ABS(Table14[[#This Row],[petal_length]]-$N$4)+ABS(Table14[[#This Row],[petal_width]]-$O$4)</f>
        <v>2.0500000000000007</v>
      </c>
      <c r="J149" s="70">
        <f>RANK(Table14[[#This Row],[Manhattan
Distance]],Table14[Manhattan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SQRT((Table14[[#This Row],[sepal_length]]-$L$4)^2+(Table14[[#This Row],[sepal_width]]-$M$4)^2+(Table14[[#This Row],[petal_length]]-$N$4)^2+(Table14[[#This Row],[petal_width]]-$O$4)^2)</f>
        <v>1.7327723451163459</v>
      </c>
      <c r="H150" s="52">
        <f>RANK(Table14[[#This Row],[Euclidean
Distance]],Table14[Euclidean
Distance],1)</f>
        <v>74</v>
      </c>
      <c r="I150" s="101">
        <f>ABS(Table14[[#This Row],[sepal_length]]-$L$4)+ABS(Table14[[#This Row],[sepal_width]]-$M$4)+ABS(Table14[[#This Row],[petal_length]]-$N$4)+ABS(Table14[[#This Row],[petal_width]]-$O$4)</f>
        <v>3.2500000000000004</v>
      </c>
      <c r="J150" s="70">
        <f>RANK(Table14[[#This Row],[Manhattan
Distance]],Table14[Manhattan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SQRT((Table14[[#This Row],[sepal_length]]-$L$4)^2+(Table14[[#This Row],[sepal_width]]-$M$4)^2+(Table14[[#This Row],[petal_length]]-$N$4)^2+(Table14[[#This Row],[petal_width]]-$O$4)^2)</f>
        <v>1.3388427838995882</v>
      </c>
      <c r="H151" s="60">
        <f>RANK(Table14[[#This Row],[Euclidean
Distance]],Table14[Euclidean
Distance],1)</f>
        <v>53</v>
      </c>
      <c r="I151" s="102">
        <f>ABS(Table14[[#This Row],[sepal_length]]-$L$4)+ABS(Table14[[#This Row],[sepal_width]]-$M$4)+ABS(Table14[[#This Row],[petal_length]]-$N$4)+ABS(Table14[[#This Row],[petal_width]]-$O$4)</f>
        <v>2.3499999999999996</v>
      </c>
      <c r="J151" s="99">
        <f>RANK(Table14[[#This Row],[Manhattan
Distance]],Table14[Manhattan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301" t="s">
        <v>92</v>
      </c>
      <c r="F2" s="302"/>
      <c r="H2" s="301" t="s">
        <v>92</v>
      </c>
      <c r="I2" s="302"/>
      <c r="K2" s="301" t="s">
        <v>92</v>
      </c>
      <c r="L2" s="302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303" t="s">
        <v>108</v>
      </c>
      <c r="C19" s="30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301" t="s">
        <v>92</v>
      </c>
      <c r="F2" s="302"/>
      <c r="H2" s="301" t="s">
        <v>92</v>
      </c>
      <c r="I2" s="302"/>
      <c r="K2" s="301" t="s">
        <v>92</v>
      </c>
      <c r="L2" s="302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303" t="s">
        <v>108</v>
      </c>
      <c r="C19" s="30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304" t="s">
        <v>112</v>
      </c>
      <c r="C1" s="305"/>
      <c r="D1" s="305"/>
      <c r="E1" s="305"/>
      <c r="F1" s="305"/>
      <c r="G1" s="305"/>
      <c r="H1" s="305"/>
      <c r="I1" s="305"/>
      <c r="J1" s="305"/>
      <c r="K1" s="305"/>
      <c r="L1" s="306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307" t="s">
        <v>130</v>
      </c>
      <c r="D2" s="308"/>
      <c r="E2" s="308"/>
      <c r="F2" s="308"/>
      <c r="G2" s="308"/>
      <c r="H2" s="308"/>
      <c r="I2" s="308"/>
      <c r="J2" s="308"/>
      <c r="K2" s="309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310" t="s">
        <v>137</v>
      </c>
      <c r="D17" s="311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312" t="s">
        <v>138</v>
      </c>
      <c r="E18" s="313"/>
      <c r="F18" s="313"/>
      <c r="G18" s="313"/>
      <c r="H18" s="313"/>
      <c r="I18" s="313"/>
      <c r="J18" s="313"/>
      <c r="K18" s="314"/>
    </row>
    <row r="19" spans="3:12" ht="15" thickBot="1">
      <c r="C19" s="57" t="s">
        <v>135</v>
      </c>
      <c r="D19" s="315" t="s">
        <v>139</v>
      </c>
      <c r="E19" s="316"/>
      <c r="F19" s="316"/>
      <c r="G19" s="316"/>
      <c r="H19" s="316"/>
      <c r="I19" s="316"/>
      <c r="J19" s="316"/>
      <c r="K19" s="317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2026-08-31T09:11:57Z</dcterms:modified>
</cp:coreProperties>
</file>