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 Backup\2GITHUB\AEC_ML_Batch_2_August_2026\"/>
    </mc:Choice>
  </mc:AlternateContent>
  <xr:revisionPtr revIDLastSave="0" documentId="13_ncr:1_{F6B6DE96-CFE7-4541-B692-4DF387593A11}" xr6:coauthVersionLast="47" xr6:coauthVersionMax="47" xr10:uidLastSave="{00000000-0000-0000-0000-000000000000}"/>
  <bookViews>
    <workbookView xWindow="-108" yWindow="-108" windowWidth="23256" windowHeight="13896" tabRatio="823" firstSheet="7" activeTab="15" xr2:uid="{8906883F-2923-499F-A745-AA2DCE968BC0}"/>
  </bookViews>
  <sheets>
    <sheet name="Forecast Sheet" sheetId="16" r:id="rId1"/>
    <sheet name="Forecase Sheet (Output-1)" sheetId="21" r:id="rId2"/>
    <sheet name="Forecast Sheet (Output-2)" sheetId="17" r:id="rId3"/>
    <sheet name="Correlation &amp; Regression-1" sheetId="12" r:id="rId4"/>
    <sheet name="Correlation &amp; Regression-1 (2)" sheetId="11" r:id="rId5"/>
    <sheet name="Correlation &amp; Regression-2" sheetId="13" r:id="rId6"/>
    <sheet name="Correlation &amp; Regression-2 (2)" sheetId="10" r:id="rId7"/>
    <sheet name="Decision Tree" sheetId="1" r:id="rId8"/>
    <sheet name="K-NN" sheetId="3" r:id="rId9"/>
    <sheet name="K-NN (2)" sheetId="2" r:id="rId10"/>
    <sheet name="K-NN (Iris)" sheetId="4" r:id="rId11"/>
    <sheet name="K-NN (Iris) (2)" sheetId="14" r:id="rId12"/>
    <sheet name="K-Means Clustering" sheetId="15" r:id="rId13"/>
    <sheet name="K-Means Clustering (2)" sheetId="6" r:id="rId14"/>
    <sheet name="Hierarchical Clustering " sheetId="8" r:id="rId15"/>
    <sheet name="ROC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F3" i="10"/>
  <c r="G4" i="10"/>
  <c r="G5" i="10"/>
  <c r="G6" i="10"/>
  <c r="G7" i="10"/>
  <c r="G3" i="10"/>
  <c r="F4" i="10"/>
  <c r="F5" i="10"/>
  <c r="F6" i="10"/>
  <c r="F7" i="10"/>
  <c r="D11" i="10"/>
  <c r="D12" i="10"/>
  <c r="B21" i="11" l="1"/>
  <c r="G15" i="11"/>
  <c r="G16" i="11"/>
  <c r="G14" i="11"/>
  <c r="B20" i="11"/>
  <c r="B19" i="11"/>
  <c r="B18" i="11"/>
  <c r="B17" i="11"/>
  <c r="B16" i="11"/>
  <c r="B15" i="11"/>
  <c r="B14" i="11"/>
  <c r="B13" i="11"/>
  <c r="C11" i="11"/>
  <c r="D11" i="11"/>
  <c r="E11" i="11"/>
  <c r="F11" i="11"/>
  <c r="G11" i="11"/>
  <c r="E5" i="11"/>
  <c r="F5" i="11"/>
  <c r="G5" i="11"/>
  <c r="E6" i="11"/>
  <c r="F6" i="11"/>
  <c r="G6" i="11"/>
  <c r="E7" i="11"/>
  <c r="F7" i="11"/>
  <c r="G7" i="11"/>
  <c r="E8" i="11"/>
  <c r="F8" i="11"/>
  <c r="G8" i="11"/>
  <c r="E9" i="11"/>
  <c r="F9" i="11"/>
  <c r="G9" i="11"/>
  <c r="E10" i="11"/>
  <c r="F10" i="11"/>
  <c r="G10" i="11"/>
  <c r="G4" i="11"/>
  <c r="F4" i="11"/>
  <c r="E4" i="11"/>
  <c r="H15" i="12"/>
  <c r="H16" i="12"/>
  <c r="H14" i="12"/>
  <c r="E21" i="15"/>
  <c r="D21" i="15"/>
  <c r="M5" i="15"/>
  <c r="M6" i="15"/>
  <c r="M7" i="15"/>
  <c r="M8" i="15"/>
  <c r="M9" i="15"/>
  <c r="M10" i="15"/>
  <c r="M4" i="15"/>
  <c r="K5" i="15"/>
  <c r="L5" i="15"/>
  <c r="K6" i="15"/>
  <c r="L6" i="15"/>
  <c r="K7" i="15"/>
  <c r="L7" i="15"/>
  <c r="K8" i="15"/>
  <c r="L8" i="15"/>
  <c r="K9" i="15"/>
  <c r="L9" i="15"/>
  <c r="K10" i="15"/>
  <c r="L10" i="15"/>
  <c r="L4" i="15"/>
  <c r="K4" i="15"/>
  <c r="D17" i="15"/>
  <c r="C17" i="15"/>
  <c r="D16" i="15"/>
  <c r="C16" i="15"/>
  <c r="J5" i="15"/>
  <c r="J6" i="15"/>
  <c r="J7" i="15"/>
  <c r="J8" i="15"/>
  <c r="J9" i="15"/>
  <c r="J10" i="15"/>
  <c r="J4" i="15"/>
  <c r="I5" i="15"/>
  <c r="I6" i="15"/>
  <c r="I7" i="15"/>
  <c r="I8" i="15"/>
  <c r="I9" i="15"/>
  <c r="I10" i="15"/>
  <c r="I4" i="15"/>
  <c r="H5" i="15"/>
  <c r="H6" i="15"/>
  <c r="H7" i="15"/>
  <c r="H8" i="15"/>
  <c r="H9" i="15"/>
  <c r="H10" i="15"/>
  <c r="H4" i="15"/>
  <c r="D15" i="15"/>
  <c r="C15" i="15"/>
  <c r="D14" i="15"/>
  <c r="C14" i="15"/>
  <c r="G5" i="15"/>
  <c r="G6" i="15"/>
  <c r="G7" i="15"/>
  <c r="G8" i="15"/>
  <c r="G9" i="15"/>
  <c r="G10" i="15"/>
  <c r="G4" i="15"/>
  <c r="F5" i="15"/>
  <c r="F6" i="15"/>
  <c r="F7" i="15"/>
  <c r="F8" i="15"/>
  <c r="F9" i="15"/>
  <c r="F10" i="15"/>
  <c r="F4" i="15"/>
  <c r="E5" i="15"/>
  <c r="E6" i="15"/>
  <c r="E7" i="15"/>
  <c r="E8" i="15"/>
  <c r="E9" i="15"/>
  <c r="E10" i="15"/>
  <c r="E4" i="1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I60" i="1"/>
  <c r="M12" i="1"/>
  <c r="E13" i="13"/>
  <c r="E12" i="13"/>
  <c r="E11" i="13"/>
  <c r="G8" i="13"/>
  <c r="F8" i="13"/>
  <c r="F7" i="13"/>
  <c r="G7" i="13" s="1"/>
  <c r="G6" i="13"/>
  <c r="F6" i="13"/>
  <c r="G5" i="13"/>
  <c r="F5" i="13"/>
  <c r="G4" i="13"/>
  <c r="F4" i="13"/>
  <c r="C20" i="12"/>
  <c r="C19" i="12"/>
  <c r="C16" i="12"/>
  <c r="C15" i="12"/>
  <c r="C13" i="12"/>
  <c r="D11" i="12"/>
  <c r="C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E11" i="12" s="1"/>
  <c r="C14" i="12" s="1"/>
  <c r="C21" i="12" s="1"/>
  <c r="G4" i="12"/>
  <c r="G11" i="12" s="1"/>
  <c r="F4" i="12"/>
  <c r="F11" i="12" s="1"/>
  <c r="E4" i="12"/>
  <c r="C21" i="11"/>
  <c r="C18" i="21"/>
  <c r="C26" i="21"/>
  <c r="H7" i="21"/>
  <c r="C19" i="21"/>
  <c r="H8" i="21"/>
  <c r="C20" i="21"/>
  <c r="C21" i="21"/>
  <c r="H2" i="21"/>
  <c r="C22" i="21"/>
  <c r="H3" i="21"/>
  <c r="C23" i="21"/>
  <c r="H4" i="21"/>
  <c r="H5" i="21"/>
  <c r="H6" i="21"/>
  <c r="C24" i="21"/>
  <c r="C25" i="21"/>
  <c r="C20" i="17"/>
  <c r="D19" i="17"/>
  <c r="H2" i="17"/>
  <c r="C21" i="17"/>
  <c r="D20" i="17"/>
  <c r="H3" i="17"/>
  <c r="D25" i="17"/>
  <c r="C19" i="17"/>
  <c r="C22" i="17"/>
  <c r="D21" i="17"/>
  <c r="H4" i="17"/>
  <c r="C23" i="17"/>
  <c r="D22" i="17"/>
  <c r="H5" i="17"/>
  <c r="C26" i="17"/>
  <c r="D26" i="17"/>
  <c r="C24" i="17"/>
  <c r="D23" i="17"/>
  <c r="H6" i="17"/>
  <c r="C25" i="17"/>
  <c r="D24" i="17"/>
  <c r="H7" i="17"/>
  <c r="C18" i="17"/>
  <c r="H8" i="17"/>
  <c r="D18" i="17"/>
  <c r="F21" i="15" l="1"/>
  <c r="F10" i="3"/>
  <c r="H9" i="3"/>
  <c r="H5" i="3"/>
  <c r="H2" i="3"/>
  <c r="F7" i="3"/>
  <c r="H16" i="3"/>
  <c r="H4" i="3"/>
  <c r="H8" i="3"/>
  <c r="H6" i="3"/>
  <c r="F11" i="3"/>
  <c r="F3" i="3"/>
  <c r="H7" i="3"/>
  <c r="F2" i="3"/>
  <c r="F9" i="3"/>
  <c r="H15" i="3"/>
  <c r="F16" i="3"/>
  <c r="F8" i="3"/>
  <c r="H14" i="3"/>
  <c r="F15" i="3"/>
  <c r="H13" i="3"/>
  <c r="F14" i="3"/>
  <c r="F6" i="3"/>
  <c r="H12" i="3"/>
  <c r="F13" i="3"/>
  <c r="F5" i="3"/>
  <c r="H11" i="3"/>
  <c r="H3" i="3"/>
  <c r="F12" i="3"/>
  <c r="F4" i="3"/>
  <c r="H10" i="3"/>
  <c r="C17" i="12"/>
  <c r="C18" i="12"/>
  <c r="G9" i="13"/>
  <c r="D25" i="21"/>
  <c r="D21" i="21"/>
  <c r="E18" i="21"/>
  <c r="E20" i="21"/>
  <c r="E23" i="21"/>
  <c r="D26" i="21"/>
  <c r="E25" i="21"/>
  <c r="E21" i="21"/>
  <c r="D18" i="21"/>
  <c r="D20" i="21"/>
  <c r="D23" i="21"/>
  <c r="E19" i="21"/>
  <c r="E22" i="21"/>
  <c r="E24" i="21"/>
  <c r="D19" i="21"/>
  <c r="E26" i="21"/>
  <c r="D24" i="21"/>
  <c r="D22" i="21"/>
  <c r="G14" i="12" l="1"/>
  <c r="G16" i="12"/>
  <c r="G15" i="12"/>
  <c r="H31" i="9" l="1"/>
  <c r="I31" i="9" s="1"/>
  <c r="E31" i="9"/>
  <c r="D31" i="9"/>
  <c r="F31" i="9" s="1"/>
  <c r="G30" i="9"/>
  <c r="H29" i="9" s="1"/>
  <c r="G28" i="9"/>
  <c r="H27" i="9" s="1"/>
  <c r="G26" i="9"/>
  <c r="L14" i="9"/>
  <c r="K14" i="9"/>
  <c r="J14" i="9"/>
  <c r="I14" i="9"/>
  <c r="H14" i="9"/>
  <c r="G14" i="9"/>
  <c r="F14" i="9"/>
  <c r="E14" i="9"/>
  <c r="L13" i="9"/>
  <c r="K13" i="9"/>
  <c r="J13" i="9"/>
  <c r="I13" i="9"/>
  <c r="H13" i="9"/>
  <c r="G13" i="9"/>
  <c r="F13" i="9"/>
  <c r="E13" i="9"/>
  <c r="L12" i="9"/>
  <c r="K12" i="9"/>
  <c r="J12" i="9"/>
  <c r="I12" i="9"/>
  <c r="H12" i="9"/>
  <c r="G12" i="9"/>
  <c r="F12" i="9"/>
  <c r="E12" i="9"/>
  <c r="L11" i="9"/>
  <c r="K11" i="9"/>
  <c r="J11" i="9"/>
  <c r="I11" i="9"/>
  <c r="H11" i="9"/>
  <c r="G11" i="9"/>
  <c r="F11" i="9"/>
  <c r="E11" i="9"/>
  <c r="L10" i="9"/>
  <c r="K10" i="9"/>
  <c r="J10" i="9"/>
  <c r="I10" i="9"/>
  <c r="H10" i="9"/>
  <c r="G10" i="9"/>
  <c r="F10" i="9"/>
  <c r="E10" i="9"/>
  <c r="L9" i="9"/>
  <c r="K9" i="9"/>
  <c r="J9" i="9"/>
  <c r="I9" i="9"/>
  <c r="H9" i="9"/>
  <c r="G9" i="9"/>
  <c r="F9" i="9"/>
  <c r="E9" i="9"/>
  <c r="L8" i="9"/>
  <c r="K8" i="9"/>
  <c r="J8" i="9"/>
  <c r="I8" i="9"/>
  <c r="H8" i="9"/>
  <c r="G8" i="9"/>
  <c r="F8" i="9"/>
  <c r="E8" i="9"/>
  <c r="L7" i="9"/>
  <c r="K7" i="9"/>
  <c r="J7" i="9"/>
  <c r="I7" i="9"/>
  <c r="H7" i="9"/>
  <c r="G7" i="9"/>
  <c r="F7" i="9"/>
  <c r="E7" i="9"/>
  <c r="L6" i="9"/>
  <c r="K6" i="9"/>
  <c r="J6" i="9"/>
  <c r="I6" i="9"/>
  <c r="H6" i="9"/>
  <c r="G6" i="9"/>
  <c r="F6" i="9"/>
  <c r="E6" i="9"/>
  <c r="L5" i="9"/>
  <c r="L15" i="9" s="1"/>
  <c r="K5" i="9"/>
  <c r="K15" i="9" s="1"/>
  <c r="J5" i="9"/>
  <c r="J15" i="9" s="1"/>
  <c r="I5" i="9"/>
  <c r="I15" i="9" s="1"/>
  <c r="H5" i="9"/>
  <c r="H15" i="9" s="1"/>
  <c r="G5" i="9"/>
  <c r="D28" i="9" s="1"/>
  <c r="E27" i="9" s="1"/>
  <c r="F5" i="9"/>
  <c r="D27" i="9" s="1"/>
  <c r="E26" i="9" s="1"/>
  <c r="E5" i="9"/>
  <c r="D26" i="9" s="1"/>
  <c r="L4" i="9"/>
  <c r="L16" i="9" s="1"/>
  <c r="L17" i="9" s="1"/>
  <c r="K4" i="9"/>
  <c r="K16" i="9" s="1"/>
  <c r="J4" i="9"/>
  <c r="G31" i="9" s="1"/>
  <c r="H30" i="9" s="1"/>
  <c r="I30" i="9" s="1"/>
  <c r="I4" i="9"/>
  <c r="I16" i="9" s="1"/>
  <c r="I17" i="9" s="1"/>
  <c r="H4" i="9"/>
  <c r="G29" i="9" s="1"/>
  <c r="H28" i="9" s="1"/>
  <c r="I28" i="9" s="1"/>
  <c r="G4" i="9"/>
  <c r="G16" i="9" s="1"/>
  <c r="F4" i="9"/>
  <c r="G27" i="9" s="1"/>
  <c r="H26" i="9" s="1"/>
  <c r="I26" i="9" s="1"/>
  <c r="E4" i="9"/>
  <c r="E16" i="9" s="1"/>
  <c r="F26" i="9" l="1"/>
  <c r="J26" i="9" s="1"/>
  <c r="I27" i="9"/>
  <c r="F27" i="9"/>
  <c r="J27" i="9" s="1"/>
  <c r="I29" i="9"/>
  <c r="K17" i="9"/>
  <c r="G17" i="9"/>
  <c r="J31" i="9"/>
  <c r="D30" i="9"/>
  <c r="E29" i="9" s="1"/>
  <c r="F29" i="9" s="1"/>
  <c r="J29" i="9" s="1"/>
  <c r="F15" i="9"/>
  <c r="F16" i="9"/>
  <c r="F17" i="9" s="1"/>
  <c r="G15" i="9"/>
  <c r="J16" i="9"/>
  <c r="J17" i="9" s="1"/>
  <c r="D29" i="9"/>
  <c r="E28" i="9" s="1"/>
  <c r="F28" i="9" s="1"/>
  <c r="J28" i="9" s="1"/>
  <c r="E30" i="9"/>
  <c r="H16" i="9"/>
  <c r="H17" i="9" s="1"/>
  <c r="E15" i="9"/>
  <c r="E17" i="9" s="1"/>
  <c r="F30" i="9" l="1"/>
  <c r="J30" i="9" s="1"/>
  <c r="J32" i="9"/>
  <c r="I151" i="4" l="1"/>
  <c r="J151" i="4" s="1"/>
  <c r="G151" i="4"/>
  <c r="H151" i="4" s="1"/>
  <c r="I150" i="4"/>
  <c r="J150" i="4" s="1"/>
  <c r="G150" i="4"/>
  <c r="H150" i="4" s="1"/>
  <c r="I149" i="4"/>
  <c r="J149" i="4" s="1"/>
  <c r="G149" i="4"/>
  <c r="H149" i="4" s="1"/>
  <c r="I148" i="4"/>
  <c r="J148" i="4" s="1"/>
  <c r="G148" i="4"/>
  <c r="H148" i="4" s="1"/>
  <c r="I147" i="4"/>
  <c r="J147" i="4" s="1"/>
  <c r="G147" i="4"/>
  <c r="H147" i="4" s="1"/>
  <c r="I146" i="4"/>
  <c r="J146" i="4" s="1"/>
  <c r="G146" i="4"/>
  <c r="H146" i="4" s="1"/>
  <c r="I145" i="4"/>
  <c r="J145" i="4" s="1"/>
  <c r="G145" i="4"/>
  <c r="H145" i="4" s="1"/>
  <c r="I144" i="4"/>
  <c r="J144" i="4" s="1"/>
  <c r="G144" i="4"/>
  <c r="H144" i="4" s="1"/>
  <c r="I143" i="4"/>
  <c r="J143" i="4" s="1"/>
  <c r="G143" i="4"/>
  <c r="H143" i="4" s="1"/>
  <c r="I142" i="4"/>
  <c r="J142" i="4" s="1"/>
  <c r="G142" i="4"/>
  <c r="H142" i="4" s="1"/>
  <c r="I141" i="4"/>
  <c r="J141" i="4" s="1"/>
  <c r="G141" i="4"/>
  <c r="H141" i="4" s="1"/>
  <c r="I140" i="4"/>
  <c r="J140" i="4" s="1"/>
  <c r="G140" i="4"/>
  <c r="H140" i="4" s="1"/>
  <c r="I139" i="4"/>
  <c r="J139" i="4" s="1"/>
  <c r="G139" i="4"/>
  <c r="H139" i="4" s="1"/>
  <c r="I138" i="4"/>
  <c r="J138" i="4" s="1"/>
  <c r="G138" i="4"/>
  <c r="H138" i="4" s="1"/>
  <c r="I137" i="4"/>
  <c r="J137" i="4" s="1"/>
  <c r="G137" i="4"/>
  <c r="H137" i="4" s="1"/>
  <c r="I136" i="4"/>
  <c r="J136" i="4" s="1"/>
  <c r="G136" i="4"/>
  <c r="H136" i="4" s="1"/>
  <c r="I135" i="4"/>
  <c r="J135" i="4" s="1"/>
  <c r="G135" i="4"/>
  <c r="H135" i="4" s="1"/>
  <c r="I134" i="4"/>
  <c r="J134" i="4" s="1"/>
  <c r="G134" i="4"/>
  <c r="H134" i="4" s="1"/>
  <c r="I133" i="4"/>
  <c r="J133" i="4" s="1"/>
  <c r="G133" i="4"/>
  <c r="H133" i="4" s="1"/>
  <c r="I132" i="4"/>
  <c r="J132" i="4" s="1"/>
  <c r="G132" i="4"/>
  <c r="H132" i="4" s="1"/>
  <c r="I131" i="4"/>
  <c r="J131" i="4" s="1"/>
  <c r="G131" i="4"/>
  <c r="H131" i="4" s="1"/>
  <c r="I130" i="4"/>
  <c r="J130" i="4" s="1"/>
  <c r="G130" i="4"/>
  <c r="H130" i="4" s="1"/>
  <c r="I129" i="4"/>
  <c r="J129" i="4" s="1"/>
  <c r="G129" i="4"/>
  <c r="H129" i="4" s="1"/>
  <c r="I128" i="4"/>
  <c r="J128" i="4" s="1"/>
  <c r="G128" i="4"/>
  <c r="H128" i="4" s="1"/>
  <c r="I127" i="4"/>
  <c r="J127" i="4" s="1"/>
  <c r="G127" i="4"/>
  <c r="H127" i="4" s="1"/>
  <c r="I126" i="4"/>
  <c r="J126" i="4" s="1"/>
  <c r="G126" i="4"/>
  <c r="H126" i="4" s="1"/>
  <c r="I125" i="4"/>
  <c r="J125" i="4" s="1"/>
  <c r="G125" i="4"/>
  <c r="H125" i="4" s="1"/>
  <c r="I124" i="4"/>
  <c r="J124" i="4" s="1"/>
  <c r="G124" i="4"/>
  <c r="H124" i="4" s="1"/>
  <c r="I123" i="4"/>
  <c r="J123" i="4" s="1"/>
  <c r="G123" i="4"/>
  <c r="H123" i="4" s="1"/>
  <c r="I122" i="4"/>
  <c r="J122" i="4" s="1"/>
  <c r="G122" i="4"/>
  <c r="H122" i="4" s="1"/>
  <c r="I121" i="4"/>
  <c r="J121" i="4" s="1"/>
  <c r="G121" i="4"/>
  <c r="H121" i="4" s="1"/>
  <c r="I120" i="4"/>
  <c r="J120" i="4" s="1"/>
  <c r="G120" i="4"/>
  <c r="H120" i="4" s="1"/>
  <c r="I119" i="4"/>
  <c r="J119" i="4" s="1"/>
  <c r="G119" i="4"/>
  <c r="H119" i="4" s="1"/>
  <c r="I118" i="4"/>
  <c r="J118" i="4" s="1"/>
  <c r="G118" i="4"/>
  <c r="H118" i="4" s="1"/>
  <c r="I117" i="4"/>
  <c r="J117" i="4" s="1"/>
  <c r="G117" i="4"/>
  <c r="H117" i="4" s="1"/>
  <c r="I116" i="4"/>
  <c r="J116" i="4" s="1"/>
  <c r="G116" i="4"/>
  <c r="H116" i="4" s="1"/>
  <c r="I115" i="4"/>
  <c r="J115" i="4" s="1"/>
  <c r="G115" i="4"/>
  <c r="H115" i="4" s="1"/>
  <c r="I114" i="4"/>
  <c r="J114" i="4" s="1"/>
  <c r="G114" i="4"/>
  <c r="H114" i="4" s="1"/>
  <c r="I113" i="4"/>
  <c r="J113" i="4" s="1"/>
  <c r="G113" i="4"/>
  <c r="H113" i="4" s="1"/>
  <c r="I112" i="4"/>
  <c r="J112" i="4" s="1"/>
  <c r="G112" i="4"/>
  <c r="H112" i="4" s="1"/>
  <c r="I111" i="4"/>
  <c r="J111" i="4" s="1"/>
  <c r="G111" i="4"/>
  <c r="H111" i="4" s="1"/>
  <c r="I110" i="4"/>
  <c r="J110" i="4" s="1"/>
  <c r="G110" i="4"/>
  <c r="H110" i="4" s="1"/>
  <c r="I109" i="4"/>
  <c r="J109" i="4" s="1"/>
  <c r="G109" i="4"/>
  <c r="H109" i="4" s="1"/>
  <c r="I108" i="4"/>
  <c r="J108" i="4" s="1"/>
  <c r="G108" i="4"/>
  <c r="H108" i="4" s="1"/>
  <c r="I107" i="4"/>
  <c r="J107" i="4" s="1"/>
  <c r="G107" i="4"/>
  <c r="H107" i="4" s="1"/>
  <c r="I106" i="4"/>
  <c r="J106" i="4" s="1"/>
  <c r="G106" i="4"/>
  <c r="H106" i="4" s="1"/>
  <c r="I105" i="4"/>
  <c r="J105" i="4" s="1"/>
  <c r="G105" i="4"/>
  <c r="H105" i="4" s="1"/>
  <c r="I104" i="4"/>
  <c r="J104" i="4" s="1"/>
  <c r="G104" i="4"/>
  <c r="H104" i="4" s="1"/>
  <c r="I103" i="4"/>
  <c r="J103" i="4" s="1"/>
  <c r="G103" i="4"/>
  <c r="H103" i="4" s="1"/>
  <c r="I102" i="4"/>
  <c r="J102" i="4" s="1"/>
  <c r="G102" i="4"/>
  <c r="H102" i="4" s="1"/>
  <c r="I101" i="4"/>
  <c r="J101" i="4" s="1"/>
  <c r="G101" i="4"/>
  <c r="H101" i="4" s="1"/>
  <c r="I100" i="4"/>
  <c r="J100" i="4" s="1"/>
  <c r="G100" i="4"/>
  <c r="H100" i="4" s="1"/>
  <c r="I99" i="4"/>
  <c r="J99" i="4" s="1"/>
  <c r="G99" i="4"/>
  <c r="H99" i="4" s="1"/>
  <c r="I98" i="4"/>
  <c r="J98" i="4" s="1"/>
  <c r="G98" i="4"/>
  <c r="H98" i="4" s="1"/>
  <c r="I97" i="4"/>
  <c r="J97" i="4" s="1"/>
  <c r="G97" i="4"/>
  <c r="H97" i="4" s="1"/>
  <c r="I96" i="4"/>
  <c r="J96" i="4" s="1"/>
  <c r="G96" i="4"/>
  <c r="H96" i="4" s="1"/>
  <c r="I95" i="4"/>
  <c r="J95" i="4" s="1"/>
  <c r="G95" i="4"/>
  <c r="H95" i="4" s="1"/>
  <c r="I94" i="4"/>
  <c r="J94" i="4" s="1"/>
  <c r="G94" i="4"/>
  <c r="H94" i="4" s="1"/>
  <c r="I93" i="4"/>
  <c r="J93" i="4" s="1"/>
  <c r="G93" i="4"/>
  <c r="H93" i="4" s="1"/>
  <c r="I92" i="4"/>
  <c r="J92" i="4" s="1"/>
  <c r="G92" i="4"/>
  <c r="H92" i="4" s="1"/>
  <c r="I91" i="4"/>
  <c r="J91" i="4" s="1"/>
  <c r="G91" i="4"/>
  <c r="H91" i="4" s="1"/>
  <c r="I90" i="4"/>
  <c r="J90" i="4" s="1"/>
  <c r="G90" i="4"/>
  <c r="H90" i="4" s="1"/>
  <c r="I89" i="4"/>
  <c r="J89" i="4" s="1"/>
  <c r="G89" i="4"/>
  <c r="H89" i="4" s="1"/>
  <c r="I88" i="4"/>
  <c r="J88" i="4" s="1"/>
  <c r="G88" i="4"/>
  <c r="H88" i="4" s="1"/>
  <c r="I87" i="4"/>
  <c r="J87" i="4" s="1"/>
  <c r="G87" i="4"/>
  <c r="H87" i="4" s="1"/>
  <c r="I86" i="4"/>
  <c r="J86" i="4" s="1"/>
  <c r="G86" i="4"/>
  <c r="H86" i="4" s="1"/>
  <c r="I85" i="4"/>
  <c r="J85" i="4" s="1"/>
  <c r="G85" i="4"/>
  <c r="H85" i="4" s="1"/>
  <c r="I84" i="4"/>
  <c r="J84" i="4" s="1"/>
  <c r="G84" i="4"/>
  <c r="H84" i="4" s="1"/>
  <c r="I83" i="4"/>
  <c r="J83" i="4" s="1"/>
  <c r="G83" i="4"/>
  <c r="H83" i="4" s="1"/>
  <c r="I82" i="4"/>
  <c r="J82" i="4" s="1"/>
  <c r="G82" i="4"/>
  <c r="H82" i="4" s="1"/>
  <c r="I81" i="4"/>
  <c r="J81" i="4" s="1"/>
  <c r="G81" i="4"/>
  <c r="H81" i="4" s="1"/>
  <c r="I80" i="4"/>
  <c r="J80" i="4" s="1"/>
  <c r="G80" i="4"/>
  <c r="H80" i="4" s="1"/>
  <c r="I79" i="4"/>
  <c r="J79" i="4" s="1"/>
  <c r="G79" i="4"/>
  <c r="H79" i="4" s="1"/>
  <c r="I78" i="4"/>
  <c r="J78" i="4" s="1"/>
  <c r="G78" i="4"/>
  <c r="H78" i="4" s="1"/>
  <c r="I77" i="4"/>
  <c r="J77" i="4" s="1"/>
  <c r="G77" i="4"/>
  <c r="H77" i="4" s="1"/>
  <c r="I76" i="4"/>
  <c r="J76" i="4" s="1"/>
  <c r="G76" i="4"/>
  <c r="H76" i="4" s="1"/>
  <c r="I75" i="4"/>
  <c r="J75" i="4" s="1"/>
  <c r="G75" i="4"/>
  <c r="H75" i="4" s="1"/>
  <c r="I74" i="4"/>
  <c r="J74" i="4" s="1"/>
  <c r="G74" i="4"/>
  <c r="H74" i="4" s="1"/>
  <c r="I73" i="4"/>
  <c r="J73" i="4" s="1"/>
  <c r="G73" i="4"/>
  <c r="H73" i="4" s="1"/>
  <c r="I72" i="4"/>
  <c r="J72" i="4" s="1"/>
  <c r="G72" i="4"/>
  <c r="H72" i="4" s="1"/>
  <c r="I71" i="4"/>
  <c r="J71" i="4" s="1"/>
  <c r="G71" i="4"/>
  <c r="H71" i="4" s="1"/>
  <c r="I70" i="4"/>
  <c r="J70" i="4" s="1"/>
  <c r="G70" i="4"/>
  <c r="H70" i="4" s="1"/>
  <c r="I69" i="4"/>
  <c r="J69" i="4" s="1"/>
  <c r="G69" i="4"/>
  <c r="H69" i="4" s="1"/>
  <c r="I68" i="4"/>
  <c r="J68" i="4" s="1"/>
  <c r="G68" i="4"/>
  <c r="H68" i="4" s="1"/>
  <c r="I67" i="4"/>
  <c r="J67" i="4" s="1"/>
  <c r="G67" i="4"/>
  <c r="H67" i="4" s="1"/>
  <c r="I66" i="4"/>
  <c r="J66" i="4" s="1"/>
  <c r="G66" i="4"/>
  <c r="H66" i="4" s="1"/>
  <c r="I65" i="4"/>
  <c r="J65" i="4" s="1"/>
  <c r="G65" i="4"/>
  <c r="H65" i="4" s="1"/>
  <c r="I64" i="4"/>
  <c r="J64" i="4" s="1"/>
  <c r="G64" i="4"/>
  <c r="H64" i="4" s="1"/>
  <c r="I63" i="4"/>
  <c r="J63" i="4" s="1"/>
  <c r="G63" i="4"/>
  <c r="H63" i="4" s="1"/>
  <c r="I62" i="4"/>
  <c r="J62" i="4" s="1"/>
  <c r="G62" i="4"/>
  <c r="H62" i="4" s="1"/>
  <c r="I61" i="4"/>
  <c r="J61" i="4" s="1"/>
  <c r="G61" i="4"/>
  <c r="H61" i="4" s="1"/>
  <c r="I60" i="4"/>
  <c r="J60" i="4" s="1"/>
  <c r="G60" i="4"/>
  <c r="H60" i="4" s="1"/>
  <c r="I59" i="4"/>
  <c r="J59" i="4" s="1"/>
  <c r="G59" i="4"/>
  <c r="H59" i="4" s="1"/>
  <c r="I58" i="4"/>
  <c r="J58" i="4" s="1"/>
  <c r="G58" i="4"/>
  <c r="H58" i="4" s="1"/>
  <c r="I57" i="4"/>
  <c r="J57" i="4" s="1"/>
  <c r="G57" i="4"/>
  <c r="H57" i="4" s="1"/>
  <c r="I56" i="4"/>
  <c r="J56" i="4" s="1"/>
  <c r="G56" i="4"/>
  <c r="H56" i="4" s="1"/>
  <c r="I55" i="4"/>
  <c r="J55" i="4" s="1"/>
  <c r="G55" i="4"/>
  <c r="H55" i="4" s="1"/>
  <c r="I54" i="4"/>
  <c r="J54" i="4" s="1"/>
  <c r="G54" i="4"/>
  <c r="H54" i="4" s="1"/>
  <c r="I53" i="4"/>
  <c r="J53" i="4" s="1"/>
  <c r="G53" i="4"/>
  <c r="H53" i="4" s="1"/>
  <c r="I52" i="4"/>
  <c r="J52" i="4" s="1"/>
  <c r="G52" i="4"/>
  <c r="H52" i="4" s="1"/>
  <c r="I51" i="4"/>
  <c r="J51" i="4" s="1"/>
  <c r="G51" i="4"/>
  <c r="H51" i="4" s="1"/>
  <c r="I50" i="4"/>
  <c r="J50" i="4" s="1"/>
  <c r="G50" i="4"/>
  <c r="H50" i="4" s="1"/>
  <c r="I49" i="4"/>
  <c r="J49" i="4" s="1"/>
  <c r="G49" i="4"/>
  <c r="H49" i="4" s="1"/>
  <c r="I48" i="4"/>
  <c r="J48" i="4" s="1"/>
  <c r="G48" i="4"/>
  <c r="H48" i="4" s="1"/>
  <c r="I47" i="4"/>
  <c r="J47" i="4" s="1"/>
  <c r="G47" i="4"/>
  <c r="H47" i="4" s="1"/>
  <c r="I46" i="4"/>
  <c r="J46" i="4" s="1"/>
  <c r="G46" i="4"/>
  <c r="H46" i="4" s="1"/>
  <c r="I45" i="4"/>
  <c r="J45" i="4" s="1"/>
  <c r="G45" i="4"/>
  <c r="H45" i="4" s="1"/>
  <c r="I44" i="4"/>
  <c r="J44" i="4" s="1"/>
  <c r="G44" i="4"/>
  <c r="H44" i="4" s="1"/>
  <c r="I43" i="4"/>
  <c r="J43" i="4" s="1"/>
  <c r="G43" i="4"/>
  <c r="H43" i="4" s="1"/>
  <c r="I42" i="4"/>
  <c r="J42" i="4" s="1"/>
  <c r="G42" i="4"/>
  <c r="H42" i="4" s="1"/>
  <c r="I41" i="4"/>
  <c r="J41" i="4" s="1"/>
  <c r="G41" i="4"/>
  <c r="H41" i="4" s="1"/>
  <c r="I40" i="4"/>
  <c r="J40" i="4" s="1"/>
  <c r="G40" i="4"/>
  <c r="H40" i="4" s="1"/>
  <c r="I39" i="4"/>
  <c r="J39" i="4" s="1"/>
  <c r="G39" i="4"/>
  <c r="H39" i="4" s="1"/>
  <c r="I38" i="4"/>
  <c r="J38" i="4" s="1"/>
  <c r="G38" i="4"/>
  <c r="H38" i="4" s="1"/>
  <c r="I37" i="4"/>
  <c r="J37" i="4" s="1"/>
  <c r="G37" i="4"/>
  <c r="H37" i="4" s="1"/>
  <c r="I36" i="4"/>
  <c r="J36" i="4" s="1"/>
  <c r="G36" i="4"/>
  <c r="H36" i="4" s="1"/>
  <c r="I35" i="4"/>
  <c r="J35" i="4" s="1"/>
  <c r="G35" i="4"/>
  <c r="H35" i="4" s="1"/>
  <c r="I34" i="4"/>
  <c r="J34" i="4" s="1"/>
  <c r="G34" i="4"/>
  <c r="H34" i="4" s="1"/>
  <c r="I33" i="4"/>
  <c r="J33" i="4" s="1"/>
  <c r="G33" i="4"/>
  <c r="H33" i="4" s="1"/>
  <c r="I32" i="4"/>
  <c r="J32" i="4" s="1"/>
  <c r="G32" i="4"/>
  <c r="H32" i="4" s="1"/>
  <c r="I31" i="4"/>
  <c r="J31" i="4" s="1"/>
  <c r="G31" i="4"/>
  <c r="H31" i="4" s="1"/>
  <c r="I30" i="4"/>
  <c r="J30" i="4" s="1"/>
  <c r="G30" i="4"/>
  <c r="H30" i="4" s="1"/>
  <c r="I29" i="4"/>
  <c r="J29" i="4" s="1"/>
  <c r="G29" i="4"/>
  <c r="H29" i="4" s="1"/>
  <c r="I28" i="4"/>
  <c r="J28" i="4" s="1"/>
  <c r="G28" i="4"/>
  <c r="H28" i="4" s="1"/>
  <c r="I27" i="4"/>
  <c r="J27" i="4" s="1"/>
  <c r="G27" i="4"/>
  <c r="H27" i="4" s="1"/>
  <c r="I26" i="4"/>
  <c r="J26" i="4" s="1"/>
  <c r="G26" i="4"/>
  <c r="H26" i="4" s="1"/>
  <c r="I25" i="4"/>
  <c r="J25" i="4" s="1"/>
  <c r="G25" i="4"/>
  <c r="H25" i="4" s="1"/>
  <c r="I24" i="4"/>
  <c r="J24" i="4" s="1"/>
  <c r="G24" i="4"/>
  <c r="H24" i="4" s="1"/>
  <c r="I23" i="4"/>
  <c r="J23" i="4" s="1"/>
  <c r="G23" i="4"/>
  <c r="H23" i="4" s="1"/>
  <c r="I22" i="4"/>
  <c r="J22" i="4" s="1"/>
  <c r="G22" i="4"/>
  <c r="H22" i="4" s="1"/>
  <c r="I21" i="4"/>
  <c r="J21" i="4" s="1"/>
  <c r="G21" i="4"/>
  <c r="H21" i="4" s="1"/>
  <c r="I20" i="4"/>
  <c r="J20" i="4" s="1"/>
  <c r="G20" i="4"/>
  <c r="H20" i="4" s="1"/>
  <c r="I19" i="4"/>
  <c r="J19" i="4" s="1"/>
  <c r="G19" i="4"/>
  <c r="H19" i="4" s="1"/>
  <c r="I18" i="4"/>
  <c r="J18" i="4" s="1"/>
  <c r="G18" i="4"/>
  <c r="H18" i="4" s="1"/>
  <c r="I17" i="4"/>
  <c r="J17" i="4" s="1"/>
  <c r="G17" i="4"/>
  <c r="H17" i="4" s="1"/>
  <c r="I16" i="4"/>
  <c r="J16" i="4" s="1"/>
  <c r="G16" i="4"/>
  <c r="H16" i="4" s="1"/>
  <c r="I15" i="4"/>
  <c r="J15" i="4" s="1"/>
  <c r="G15" i="4"/>
  <c r="H15" i="4" s="1"/>
  <c r="I14" i="4"/>
  <c r="J14" i="4" s="1"/>
  <c r="G14" i="4"/>
  <c r="H14" i="4" s="1"/>
  <c r="I13" i="4"/>
  <c r="J13" i="4" s="1"/>
  <c r="G13" i="4"/>
  <c r="H13" i="4" s="1"/>
  <c r="I12" i="4"/>
  <c r="J12" i="4" s="1"/>
  <c r="G12" i="4"/>
  <c r="H12" i="4" s="1"/>
  <c r="I11" i="4"/>
  <c r="J11" i="4" s="1"/>
  <c r="G11" i="4"/>
  <c r="H11" i="4" s="1"/>
  <c r="I10" i="4"/>
  <c r="J10" i="4" s="1"/>
  <c r="G10" i="4"/>
  <c r="H10" i="4" s="1"/>
  <c r="I9" i="4"/>
  <c r="J9" i="4" s="1"/>
  <c r="G9" i="4"/>
  <c r="H9" i="4" s="1"/>
  <c r="I8" i="4"/>
  <c r="J8" i="4" s="1"/>
  <c r="G8" i="4"/>
  <c r="H8" i="4" s="1"/>
  <c r="I7" i="4"/>
  <c r="J7" i="4" s="1"/>
  <c r="G7" i="4"/>
  <c r="H7" i="4" s="1"/>
  <c r="I6" i="4"/>
  <c r="J6" i="4" s="1"/>
  <c r="G6" i="4"/>
  <c r="H6" i="4" s="1"/>
  <c r="I5" i="4"/>
  <c r="J5" i="4" s="1"/>
  <c r="G5" i="4"/>
  <c r="H5" i="4" s="1"/>
  <c r="I4" i="4"/>
  <c r="J4" i="4" s="1"/>
  <c r="G4" i="4"/>
  <c r="H4" i="4" s="1"/>
  <c r="I3" i="4"/>
  <c r="J3" i="4" s="1"/>
  <c r="G3" i="4"/>
  <c r="H3" i="4" s="1"/>
  <c r="I2" i="4"/>
  <c r="J2" i="4" s="1"/>
  <c r="G2" i="4"/>
  <c r="H2" i="4" s="1"/>
  <c r="I59" i="1" l="1"/>
  <c r="K53" i="1"/>
  <c r="K52" i="1"/>
  <c r="K50" i="1"/>
  <c r="L50" i="1" s="1"/>
  <c r="K49" i="1"/>
  <c r="L49" i="1" s="1"/>
  <c r="K47" i="1"/>
  <c r="L47" i="1" s="1"/>
  <c r="L46" i="1"/>
  <c r="K46" i="1"/>
  <c r="L37" i="1"/>
  <c r="K37" i="1"/>
  <c r="K36" i="1"/>
  <c r="L36" i="1" s="1"/>
  <c r="K34" i="1"/>
  <c r="K33" i="1"/>
  <c r="K31" i="1"/>
  <c r="L30" i="1"/>
  <c r="K30" i="1"/>
  <c r="K29" i="1"/>
  <c r="L25" i="1"/>
  <c r="K25" i="1"/>
  <c r="K24" i="1"/>
  <c r="L24" i="1" s="1"/>
  <c r="K22" i="1"/>
  <c r="L22" i="1" s="1"/>
  <c r="L21" i="1"/>
  <c r="K21" i="1"/>
  <c r="D20" i="1"/>
  <c r="J11" i="1" s="1"/>
  <c r="K19" i="1"/>
  <c r="L19" i="1" s="1"/>
  <c r="D19" i="1"/>
  <c r="I11" i="1" s="1"/>
  <c r="K18" i="1"/>
  <c r="L18" i="1" s="1"/>
  <c r="L17" i="1"/>
  <c r="K17" i="1"/>
  <c r="K15" i="1"/>
  <c r="L15" i="1" s="1"/>
  <c r="K14" i="1"/>
  <c r="K13" i="1"/>
  <c r="L13" i="1" s="1"/>
  <c r="K11" i="1" l="1"/>
  <c r="M16" i="1"/>
  <c r="M23" i="1"/>
  <c r="M35" i="1"/>
  <c r="D21" i="1"/>
  <c r="M48" i="1"/>
  <c r="M28" i="1" l="1"/>
  <c r="M51" i="1"/>
  <c r="M20" i="1"/>
  <c r="M45" i="1"/>
  <c r="L11" i="1"/>
  <c r="M32" i="1"/>
  <c r="N45" i="1" l="1"/>
  <c r="N28" i="1"/>
  <c r="N48" i="1"/>
  <c r="N32" i="1"/>
  <c r="N20" i="1"/>
  <c r="N51" i="1"/>
  <c r="N35" i="1"/>
  <c r="N23" i="1"/>
  <c r="N12" i="1"/>
  <c r="N16" i="1"/>
</calcChain>
</file>

<file path=xl/sharedStrings.xml><?xml version="1.0" encoding="utf-8"?>
<sst xmlns="http://schemas.openxmlformats.org/spreadsheetml/2006/main" count="1065" uniqueCount="227">
  <si>
    <t>Day</t>
  </si>
  <si>
    <t>Outlook</t>
  </si>
  <si>
    <t>Temperature</t>
  </si>
  <si>
    <t>Humidity</t>
  </si>
  <si>
    <t>Wind</t>
  </si>
  <si>
    <t>Play</t>
  </si>
  <si>
    <t>Outlook X[0]</t>
  </si>
  <si>
    <t>Temperature X[1]</t>
  </si>
  <si>
    <t>Humidity X[2]</t>
  </si>
  <si>
    <t>Wind X[3]</t>
  </si>
  <si>
    <t>Play y</t>
  </si>
  <si>
    <t>Sunny</t>
  </si>
  <si>
    <t>Hot</t>
  </si>
  <si>
    <t>High</t>
  </si>
  <si>
    <t>Weak</t>
  </si>
  <si>
    <t>No</t>
  </si>
  <si>
    <t>Sunny - 2</t>
  </si>
  <si>
    <t>Hot - 1</t>
  </si>
  <si>
    <t>High - 0</t>
  </si>
  <si>
    <t>Weak - 1</t>
  </si>
  <si>
    <t>No - 0</t>
  </si>
  <si>
    <t>Strong</t>
  </si>
  <si>
    <t>Strong - 0</t>
  </si>
  <si>
    <t>Overcast</t>
  </si>
  <si>
    <t>Yes</t>
  </si>
  <si>
    <t>Overcast - 0</t>
  </si>
  <si>
    <t>Yes - 1</t>
  </si>
  <si>
    <t>Rain</t>
  </si>
  <si>
    <t>Mild</t>
  </si>
  <si>
    <t>Rain - 1</t>
  </si>
  <si>
    <t>Mild - 2</t>
  </si>
  <si>
    <t>Cool</t>
  </si>
  <si>
    <t>Normal</t>
  </si>
  <si>
    <t>Cool - 0</t>
  </si>
  <si>
    <t>Normal - 1</t>
  </si>
  <si>
    <t>p</t>
  </si>
  <si>
    <t>n</t>
  </si>
  <si>
    <t>p + n</t>
  </si>
  <si>
    <t xml:space="preserve">Information Gain I(p,n) </t>
  </si>
  <si>
    <t>Entropy</t>
  </si>
  <si>
    <t>Gain</t>
  </si>
  <si>
    <t>Yes Count (p) =</t>
  </si>
  <si>
    <t>No Count (n) =</t>
  </si>
  <si>
    <t>Total rows =</t>
  </si>
  <si>
    <t>Sunny-Temp</t>
  </si>
  <si>
    <t>Sunny-Humd</t>
  </si>
  <si>
    <t>Sunny-Wind</t>
  </si>
  <si>
    <t>Rain-Temp</t>
  </si>
  <si>
    <t>Rain-Humd.</t>
  </si>
  <si>
    <t>Rain-Wind</t>
  </si>
  <si>
    <t>Gini Index</t>
  </si>
  <si>
    <t>A</t>
  </si>
  <si>
    <t>Algo / Split Criterion</t>
  </si>
  <si>
    <t>Description</t>
  </si>
  <si>
    <t>Tree Type</t>
  </si>
  <si>
    <t>B</t>
  </si>
  <si>
    <t>Gini Split / Gini Index</t>
  </si>
  <si>
    <t>Favours larger partitions. Very simple to implement.</t>
  </si>
  <si>
    <t>CART</t>
  </si>
  <si>
    <t>Total</t>
  </si>
  <si>
    <t>Information Gain / Entropy</t>
  </si>
  <si>
    <t>Favours partitions that have small counts but many distinct values.</t>
  </si>
  <si>
    <t> ID3 / C4.5</t>
  </si>
  <si>
    <t>gini = 0.392</t>
  </si>
  <si>
    <t>Classification &amp; Regression Trees (CART)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</si>
  <si>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Favours larger partitions.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</si>
  <si>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Uses squared proportion of classes.</t>
    </r>
  </si>
  <si>
    <t>Rows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</si>
  <si>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Perfectly classified, Gini Index would be zero.</t>
    </r>
  </si>
  <si>
    <t>No.</t>
  </si>
  <si>
    <t>Sepal_length</t>
  </si>
  <si>
    <t>Sepal_width</t>
  </si>
  <si>
    <t>Species</t>
  </si>
  <si>
    <t>Euclidean
Distance</t>
  </si>
  <si>
    <t>Rank</t>
  </si>
  <si>
    <t>Manhattan
Distance</t>
  </si>
  <si>
    <t>Test Row</t>
  </si>
  <si>
    <t>setosa</t>
  </si>
  <si>
    <t>Virginica</t>
  </si>
  <si>
    <t>K = 5</t>
  </si>
  <si>
    <t>versicolor</t>
  </si>
  <si>
    <t>virginica</t>
  </si>
  <si>
    <t>Serial</t>
  </si>
  <si>
    <t>sepal_length</t>
  </si>
  <si>
    <t>sepal_width</t>
  </si>
  <si>
    <t>petal_length</t>
  </si>
  <si>
    <t>petal_width</t>
  </si>
  <si>
    <t>species</t>
  </si>
  <si>
    <t>Rank2</t>
  </si>
  <si>
    <t>Versicolor</t>
  </si>
  <si>
    <t>Eucledian Distance Metric</t>
  </si>
  <si>
    <t>Manhattan Distance Metric</t>
  </si>
  <si>
    <t>Distance</t>
  </si>
  <si>
    <t>Var-1</t>
  </si>
  <si>
    <t>Var-2</t>
  </si>
  <si>
    <t>From C1-1</t>
  </si>
  <si>
    <t>From C2-1</t>
  </si>
  <si>
    <t>Cluster</t>
  </si>
  <si>
    <t>From C1-2</t>
  </si>
  <si>
    <t>From C2-2</t>
  </si>
  <si>
    <t>From C1-3</t>
  </si>
  <si>
    <t>From C2-3</t>
  </si>
  <si>
    <t>C1-1</t>
  </si>
  <si>
    <t>C2-1</t>
  </si>
  <si>
    <t>C1-2</t>
  </si>
  <si>
    <t>C2-2</t>
  </si>
  <si>
    <t>C1-3</t>
  </si>
  <si>
    <t>C2-3</t>
  </si>
  <si>
    <t>New Data Point</t>
  </si>
  <si>
    <t>From C1</t>
  </si>
  <si>
    <t>From C2</t>
  </si>
  <si>
    <t>Cluster No.</t>
  </si>
  <si>
    <t>Hierarchical Clustering Example</t>
  </si>
  <si>
    <t>BA</t>
  </si>
  <si>
    <t>FI</t>
  </si>
  <si>
    <t>MI</t>
  </si>
  <si>
    <t>NA</t>
  </si>
  <si>
    <t>RM</t>
  </si>
  <si>
    <t>TO</t>
  </si>
  <si>
    <t>MI/TO</t>
  </si>
  <si>
    <t>TO/MI</t>
  </si>
  <si>
    <t>NA/RM</t>
  </si>
  <si>
    <t>BA/(NA/RM)</t>
  </si>
  <si>
    <t>FI/(TO/MI)</t>
  </si>
  <si>
    <t>BA: Buenos Aires (Argentina), British Airways (airline), Bachelor of Arts (degree)</t>
  </si>
  <si>
    <t>NA: North America (continent), National Archives (organization), North Atlantic (ocean)</t>
  </si>
  <si>
    <t>RM: Rome (Italy), Royal Mail (postal service in the UK), Records Management (industry term)</t>
  </si>
  <si>
    <t>FI: Finland (country), Financial Institution (industry term), Federated States of Micronesia (country)</t>
  </si>
  <si>
    <t>TO: Toronto (Canada), Time Out (magazine), Take Out (food service)</t>
  </si>
  <si>
    <t>MI: Michigan (state in the USA), Military Intelligence (industry term), Migraine (health condition)</t>
  </si>
  <si>
    <t>ROC Calculation Details</t>
  </si>
  <si>
    <t>BCY</t>
  </si>
  <si>
    <t>BCYH</t>
  </si>
  <si>
    <t>X-Axis</t>
  </si>
  <si>
    <t>FPR</t>
  </si>
  <si>
    <t>Y-Axis</t>
  </si>
  <si>
    <t>TPR</t>
  </si>
  <si>
    <t>Diff = TPR - FPR</t>
  </si>
  <si>
    <t>False Positive Rate (FPR=FP/N=FP/(FP+TN))</t>
  </si>
  <si>
    <t>True Positive Rate (TPR=TP/P=TP/(TP+FN))</t>
  </si>
  <si>
    <t>Program Name - ROC Error Analysis.ipynb</t>
  </si>
  <si>
    <t>BCY -&gt; Binary Classification Y</t>
  </si>
  <si>
    <t>BCYH-&gt; Binary Classification Y-Hat</t>
  </si>
  <si>
    <t>X-LL</t>
  </si>
  <si>
    <t>X-UL</t>
  </si>
  <si>
    <t>X-Diff</t>
  </si>
  <si>
    <t>Y-LL</t>
  </si>
  <si>
    <t>Y-UL</t>
  </si>
  <si>
    <t>Y-Diff</t>
  </si>
  <si>
    <t>Area</t>
  </si>
  <si>
    <t>(AUC)</t>
  </si>
  <si>
    <t>Student</t>
  </si>
  <si>
    <t>x1</t>
  </si>
  <si>
    <t>x2</t>
  </si>
  <si>
    <t>y</t>
  </si>
  <si>
    <t>y'</t>
  </si>
  <si>
    <t>(y - y')^2</t>
  </si>
  <si>
    <t>SUMMARY OUTPUT</t>
  </si>
  <si>
    <t>Regression Statistics</t>
  </si>
  <si>
    <t>C</t>
  </si>
  <si>
    <t>Multiple R</t>
  </si>
  <si>
    <t>D</t>
  </si>
  <si>
    <t>R Square</t>
  </si>
  <si>
    <t>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</si>
  <si>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</si>
  <si>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</si>
  <si>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</si>
  <si>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</si>
  <si>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</si>
  <si>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</si>
  <si>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</si>
  <si>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</si>
  <si>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</si>
  <si>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</si>
  <si>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</si>
  <si>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</si>
  <si>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</si>
  <si>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</si>
  <si>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</si>
  <si>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</si>
  <si>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</si>
  <si>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</si>
  <si>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</si>
  <si>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</t>
  </si>
  <si>
    <t>xy</t>
  </si>
  <si>
    <t>x^2</t>
  </si>
  <si>
    <t>y^2</t>
  </si>
  <si>
    <t>G</t>
  </si>
  <si>
    <t>n =</t>
  </si>
  <si>
    <t>r =</t>
  </si>
  <si>
    <t>H</t>
  </si>
  <si>
    <t>I</t>
  </si>
  <si>
    <t>J</t>
  </si>
  <si>
    <t>a =</t>
  </si>
  <si>
    <t>(Intercept)</t>
  </si>
  <si>
    <t>b =</t>
  </si>
  <si>
    <t>(Slope/Gradiant)</t>
  </si>
  <si>
    <t>r^2 =</t>
  </si>
  <si>
    <t>Slope</t>
  </si>
  <si>
    <t>Epsilon^2</t>
  </si>
  <si>
    <t>KNN =&gt; K number of Nearest Neighbours</t>
  </si>
  <si>
    <t>k = 2</t>
  </si>
  <si>
    <t>Y: [1 0 1 1 0 0 1 0 0 1 0]</t>
  </si>
  <si>
    <t>Y_HAT: [0.95 0.1  0.1  0.99 0.98 0.01 0.02 0.01 0.01 0.97 0.05]</t>
  </si>
  <si>
    <t>FPR: [0.   0.   0.17 0.17 0.33 0.5  0.5  1.  ]</t>
  </si>
  <si>
    <t>TPR: [0.  0.2 0.2 0.6 0.8 0.8 1.  1. ]</t>
  </si>
  <si>
    <t>thresholds: [ inf 0.99 0.98 0.95 0.1  0.05 0.02 0.01]</t>
  </si>
  <si>
    <t>Month</t>
  </si>
  <si>
    <t>Sales</t>
  </si>
  <si>
    <t>Forecast(Sales)</t>
  </si>
  <si>
    <t>Confidence Interval(Sales)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</si>
  <si>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</si>
  <si>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</si>
  <si>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</si>
  <si>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</si>
  <si>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</si>
  <si>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</si>
  <si>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</si>
  <si>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</si>
  <si>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</si>
  <si>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r>
      <t xml:space="preserve">In Excel’s </t>
    </r>
    <r>
      <rPr>
        <b/>
        <sz val="11"/>
        <color theme="1"/>
        <rFont val="Aptos Narrow"/>
        <family val="2"/>
      </rPr>
      <t>Forecast Sheet</t>
    </r>
    <r>
      <rPr>
        <sz val="11"/>
        <color theme="1"/>
        <rFont val="Aptos Narrow"/>
        <family val="2"/>
      </rPr>
      <t xml:space="preserve">, the </t>
    </r>
    <r>
      <rPr>
        <b/>
        <sz val="11"/>
        <color theme="1"/>
        <rFont val="Aptos Narrow"/>
        <family val="2"/>
      </rPr>
      <t>confidence interval</t>
    </r>
    <r>
      <rPr>
        <sz val="11"/>
        <color theme="1"/>
        <rFont val="Aptos Narrow"/>
        <family val="2"/>
      </rPr>
      <t xml:space="preserve"> is the shaded band around the forecast line that shows the range where future actuals are expected to fall, given past variability. Think of it as a </t>
    </r>
    <r>
      <rPr>
        <b/>
        <sz val="11"/>
        <color theme="1"/>
        <rFont val="Aptos Narrow"/>
        <family val="2"/>
      </rPr>
      <t>prediction interval</t>
    </r>
    <r>
      <rPr>
        <sz val="11"/>
        <color theme="1"/>
        <rFont val="Aptos Narrow"/>
        <family val="2"/>
      </rPr>
      <t>: wider = more uncertainty; narrower = more confidence.</t>
    </r>
  </si>
  <si>
    <t>Key points</t>
  </si>
  <si>
    <r>
      <t>* Default level:</t>
    </r>
    <r>
      <rPr>
        <sz val="11"/>
        <color theme="1"/>
        <rFont val="Aptos Narrow"/>
        <family val="2"/>
      </rPr>
      <t xml:space="preserve"> 95% (you can change it in the Forecast Sheet dialog).</t>
    </r>
  </si>
  <si>
    <r>
      <t>* Meaning:</t>
    </r>
    <r>
      <rPr>
        <sz val="11"/>
        <color theme="1"/>
        <rFont val="Aptos Narrow"/>
        <family val="2"/>
      </rPr>
      <t xml:space="preserve"> “If the same data-generating process continues, about 95% of future points should land within the upper/lower bounds.” It’s not a guarantee—just a statistical expectation based on past error.</t>
    </r>
  </si>
  <si>
    <r>
      <t>* How Excel builds it:</t>
    </r>
    <r>
      <rPr>
        <sz val="11"/>
        <color theme="1"/>
        <rFont val="Aptos Narrow"/>
        <family val="2"/>
      </rPr>
      <t xml:space="preserve"> Using its ETS (exponential triple smoothing) model, Excel looks at historical forecast errors to estimate uncertainty and then draws </t>
    </r>
    <r>
      <rPr>
        <b/>
        <sz val="11"/>
        <color theme="1"/>
        <rFont val="Aptos Narrow"/>
        <family val="2"/>
      </rPr>
      <t>Upper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Lower</t>
    </r>
    <r>
      <rPr>
        <sz val="11"/>
        <color theme="1"/>
        <rFont val="Aptos Narrow"/>
        <family val="2"/>
      </rPr>
      <t xml:space="preserve"> bounds around the forecast.</t>
    </r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</si>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</sst>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5"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Aharoni"/>
      <charset val="177"/>
    </font>
    <font>
      <sz val="12"/>
      <color theme="1"/>
      <name val="Aharoni"/>
      <charset val="177"/>
    </font>
    <font>
      <b/>
      <sz val="11"/>
      <color rgb="FF374151"/>
      <name val="Calibri"/>
      <family val="2"/>
      <scheme val="minor"/>
    </font>
    <font>
      <b/>
      <sz val="11"/>
      <color theme="1"/>
      <name val="Consolas"/>
      <family val="3"/>
    </font>
    <font>
      <b/>
      <sz val="10"/>
      <color theme="1"/>
      <name val="Var(--jp-code-font-family)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3.5"/>
      <color theme="1"/>
      <name val="Aptos Narrow"/>
      <family val="2"/>
    </font>
    <font>
      <b/>
      <sz val="10"/>
      <color rgb="FFC00000"/>
      <name val="Calibri"/>
      <family val="2"/>
      <scheme val="minor"/>
    </font>
    <font>
      <i/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317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5" xfId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1" fillId="0" borderId="6" xfId="1" applyBorder="1" applyAlignment="1">
      <alignment horizontal="left"/>
    </xf>
    <xf numFmtId="0" fontId="1" fillId="2" borderId="7" xfId="1" applyFill="1" applyBorder="1" applyAlignment="1">
      <alignment horizontal="left"/>
    </xf>
    <xf numFmtId="0" fontId="2" fillId="0" borderId="8" xfId="1" applyFont="1" applyBorder="1" applyAlignment="1">
      <alignment horizontal="left"/>
    </xf>
    <xf numFmtId="0" fontId="1" fillId="0" borderId="9" xfId="1" applyBorder="1" applyAlignment="1">
      <alignment horizontal="left"/>
    </xf>
    <xf numFmtId="0" fontId="3" fillId="0" borderId="0" xfId="1" applyFont="1" applyAlignment="1">
      <alignment horizontal="left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0" borderId="8" xfId="1" applyFont="1" applyBorder="1"/>
    <xf numFmtId="0" fontId="2" fillId="2" borderId="1" xfId="1" applyFont="1" applyFill="1" applyBorder="1"/>
    <xf numFmtId="0" fontId="2" fillId="0" borderId="10" xfId="1" applyFont="1" applyBorder="1"/>
    <xf numFmtId="0" fontId="1" fillId="0" borderId="5" xfId="1" applyBorder="1" applyAlignment="1">
      <alignment horizontal="left"/>
    </xf>
    <xf numFmtId="0" fontId="1" fillId="0" borderId="4" xfId="1" applyBorder="1" applyAlignment="1">
      <alignment horizontal="left"/>
    </xf>
    <xf numFmtId="0" fontId="2" fillId="0" borderId="0" xfId="1" applyFont="1"/>
    <xf numFmtId="0" fontId="3" fillId="0" borderId="11" xfId="1" applyFont="1" applyBorder="1" applyAlignment="1">
      <alignment horizontal="center"/>
    </xf>
    <xf numFmtId="0" fontId="1" fillId="0" borderId="6" xfId="1" applyBorder="1"/>
    <xf numFmtId="0" fontId="1" fillId="0" borderId="7" xfId="1" applyBorder="1" applyAlignment="1">
      <alignment horizontal="left"/>
    </xf>
    <xf numFmtId="0" fontId="1" fillId="2" borderId="9" xfId="1" applyFill="1" applyBorder="1" applyAlignment="1">
      <alignment horizontal="left"/>
    </xf>
    <xf numFmtId="0" fontId="1" fillId="0" borderId="5" xfId="1" applyBorder="1"/>
    <xf numFmtId="0" fontId="5" fillId="3" borderId="12" xfId="1" applyFont="1" applyFill="1" applyBorder="1" applyAlignment="1">
      <alignment vertical="center" wrapText="1"/>
    </xf>
    <xf numFmtId="0" fontId="6" fillId="3" borderId="12" xfId="1" applyFont="1" applyFill="1" applyBorder="1" applyAlignment="1">
      <alignment vertical="center" wrapText="1"/>
    </xf>
    <xf numFmtId="0" fontId="6" fillId="4" borderId="12" xfId="1" applyFont="1" applyFill="1" applyBorder="1" applyAlignment="1">
      <alignment vertical="center" wrapText="1"/>
    </xf>
    <xf numFmtId="0" fontId="8" fillId="0" borderId="0" xfId="1" applyFont="1" applyAlignment="1">
      <alignment horizontal="left" vertical="center" indent="2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" fillId="0" borderId="18" xfId="1" applyBorder="1"/>
    <xf numFmtId="164" fontId="1" fillId="0" borderId="19" xfId="1" applyNumberFormat="1" applyBorder="1"/>
    <xf numFmtId="164" fontId="1" fillId="0" borderId="20" xfId="1" applyNumberFormat="1" applyBorder="1"/>
    <xf numFmtId="0" fontId="1" fillId="0" borderId="21" xfId="1" applyBorder="1"/>
    <xf numFmtId="165" fontId="1" fillId="0" borderId="18" xfId="1" applyNumberFormat="1" applyBorder="1"/>
    <xf numFmtId="0" fontId="1" fillId="0" borderId="22" xfId="1" applyBorder="1"/>
    <xf numFmtId="0" fontId="2" fillId="0" borderId="0" xfId="1" applyFont="1" applyAlignment="1">
      <alignment horizontal="center"/>
    </xf>
    <xf numFmtId="0" fontId="1" fillId="0" borderId="23" xfId="1" applyBorder="1"/>
    <xf numFmtId="164" fontId="1" fillId="0" borderId="24" xfId="1" applyNumberFormat="1" applyBorder="1"/>
    <xf numFmtId="164" fontId="1" fillId="0" borderId="12" xfId="1" applyNumberFormat="1" applyBorder="1"/>
    <xf numFmtId="0" fontId="1" fillId="0" borderId="25" xfId="1" applyBorder="1"/>
    <xf numFmtId="165" fontId="1" fillId="0" borderId="26" xfId="1" applyNumberFormat="1" applyBorder="1"/>
    <xf numFmtId="0" fontId="1" fillId="0" borderId="27" xfId="1" applyBorder="1"/>
    <xf numFmtId="164" fontId="1" fillId="0" borderId="0" xfId="1" applyNumberFormat="1"/>
    <xf numFmtId="0" fontId="12" fillId="0" borderId="0" xfId="2"/>
    <xf numFmtId="0" fontId="1" fillId="0" borderId="28" xfId="1" applyBorder="1"/>
    <xf numFmtId="164" fontId="1" fillId="0" borderId="29" xfId="1" applyNumberFormat="1" applyBorder="1"/>
    <xf numFmtId="164" fontId="1" fillId="0" borderId="30" xfId="1" applyNumberFormat="1" applyBorder="1"/>
    <xf numFmtId="0" fontId="1" fillId="0" borderId="31" xfId="1" applyBorder="1"/>
    <xf numFmtId="165" fontId="1" fillId="0" borderId="3" xfId="1" applyNumberFormat="1" applyBorder="1"/>
    <xf numFmtId="0" fontId="1" fillId="0" borderId="32" xfId="1" applyBorder="1"/>
    <xf numFmtId="0" fontId="2" fillId="0" borderId="33" xfId="1" applyFont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 wrapText="1"/>
    </xf>
    <xf numFmtId="0" fontId="2" fillId="5" borderId="16" xfId="1" applyFont="1" applyFill="1" applyBorder="1" applyAlignment="1">
      <alignment horizontal="center" vertical="center"/>
    </xf>
    <xf numFmtId="0" fontId="2" fillId="6" borderId="17" xfId="1" applyFont="1" applyFill="1" applyBorder="1" applyAlignment="1">
      <alignment horizontal="center" vertical="center" wrapText="1"/>
    </xf>
    <xf numFmtId="0" fontId="2" fillId="6" borderId="16" xfId="1" applyFont="1" applyFill="1" applyBorder="1" applyAlignment="1">
      <alignment horizontal="center" vertical="center"/>
    </xf>
    <xf numFmtId="0" fontId="1" fillId="0" borderId="26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36" xfId="1" applyBorder="1"/>
    <xf numFmtId="165" fontId="1" fillId="0" borderId="37" xfId="1" applyNumberFormat="1" applyBorder="1"/>
    <xf numFmtId="0" fontId="1" fillId="0" borderId="28" xfId="1" applyBorder="1" applyAlignment="1">
      <alignment horizontal="center"/>
    </xf>
    <xf numFmtId="0" fontId="1" fillId="0" borderId="38" xfId="1" applyBorder="1"/>
    <xf numFmtId="165" fontId="1" fillId="0" borderId="39" xfId="1" applyNumberFormat="1" applyBorder="1"/>
    <xf numFmtId="0" fontId="2" fillId="0" borderId="40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1" fillId="0" borderId="44" xfId="1" applyBorder="1"/>
    <xf numFmtId="164" fontId="1" fillId="0" borderId="45" xfId="1" applyNumberFormat="1" applyBorder="1"/>
    <xf numFmtId="164" fontId="1" fillId="0" borderId="46" xfId="1" applyNumberFormat="1" applyBorder="1"/>
    <xf numFmtId="0" fontId="1" fillId="0" borderId="47" xfId="1" applyBorder="1"/>
    <xf numFmtId="165" fontId="1" fillId="0" borderId="45" xfId="1" applyNumberFormat="1" applyBorder="1"/>
    <xf numFmtId="0" fontId="1" fillId="0" borderId="48" xfId="1" applyBorder="1"/>
    <xf numFmtId="2" fontId="1" fillId="0" borderId="49" xfId="1" applyNumberFormat="1" applyBorder="1"/>
    <xf numFmtId="0" fontId="1" fillId="0" borderId="50" xfId="1" applyBorder="1"/>
    <xf numFmtId="164" fontId="1" fillId="0" borderId="37" xfId="1" applyNumberFormat="1" applyBorder="1"/>
    <xf numFmtId="0" fontId="1" fillId="0" borderId="24" xfId="1" applyBorder="1"/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1" fillId="0" borderId="51" xfId="1" applyBorder="1"/>
    <xf numFmtId="0" fontId="1" fillId="0" borderId="52" xfId="1" applyBorder="1"/>
    <xf numFmtId="0" fontId="1" fillId="0" borderId="53" xfId="1" applyBorder="1"/>
    <xf numFmtId="0" fontId="1" fillId="0" borderId="1" xfId="1" applyBorder="1"/>
    <xf numFmtId="0" fontId="1" fillId="0" borderId="54" xfId="1" applyBorder="1"/>
    <xf numFmtId="164" fontId="1" fillId="0" borderId="55" xfId="1" applyNumberFormat="1" applyBorder="1"/>
    <xf numFmtId="164" fontId="1" fillId="0" borderId="56" xfId="1" applyNumberFormat="1" applyBorder="1"/>
    <xf numFmtId="0" fontId="1" fillId="0" borderId="57" xfId="1" applyBorder="1"/>
    <xf numFmtId="0" fontId="1" fillId="0" borderId="58" xfId="1" applyBorder="1"/>
    <xf numFmtId="2" fontId="1" fillId="0" borderId="24" xfId="1" applyNumberFormat="1" applyBorder="1"/>
    <xf numFmtId="2" fontId="1" fillId="0" borderId="58" xfId="1" applyNumberFormat="1" applyBorder="1"/>
    <xf numFmtId="0" fontId="2" fillId="0" borderId="60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1" fillId="0" borderId="61" xfId="1" applyBorder="1" applyAlignment="1">
      <alignment horizontal="center"/>
    </xf>
    <xf numFmtId="2" fontId="1" fillId="0" borderId="8" xfId="1" applyNumberFormat="1" applyBorder="1"/>
    <xf numFmtId="2" fontId="1" fillId="0" borderId="0" xfId="1" applyNumberFormat="1"/>
    <xf numFmtId="0" fontId="1" fillId="0" borderId="3" xfId="1" applyBorder="1" applyAlignment="1">
      <alignment horizontal="center"/>
    </xf>
    <xf numFmtId="2" fontId="1" fillId="0" borderId="10" xfId="1" applyNumberFormat="1" applyBorder="1"/>
    <xf numFmtId="2" fontId="1" fillId="0" borderId="5" xfId="1" applyNumberFormat="1" applyBorder="1"/>
    <xf numFmtId="0" fontId="2" fillId="0" borderId="59" xfId="1" applyFont="1" applyBorder="1"/>
    <xf numFmtId="2" fontId="1" fillId="0" borderId="59" xfId="1" applyNumberFormat="1" applyBorder="1"/>
    <xf numFmtId="2" fontId="1" fillId="0" borderId="7" xfId="1" applyNumberFormat="1" applyBorder="1"/>
    <xf numFmtId="2" fontId="1" fillId="0" borderId="4" xfId="1" applyNumberFormat="1" applyBorder="1"/>
    <xf numFmtId="2" fontId="1" fillId="0" borderId="9" xfId="1" applyNumberFormat="1" applyBorder="1"/>
    <xf numFmtId="0" fontId="2" fillId="0" borderId="59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2" fillId="0" borderId="1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2" fontId="1" fillId="0" borderId="35" xfId="1" applyNumberFormat="1" applyBorder="1"/>
    <xf numFmtId="2" fontId="1" fillId="0" borderId="21" xfId="1" applyNumberFormat="1" applyBorder="1"/>
    <xf numFmtId="2" fontId="1" fillId="0" borderId="37" xfId="1" applyNumberFormat="1" applyBorder="1"/>
    <xf numFmtId="2" fontId="1" fillId="0" borderId="25" xfId="1" applyNumberFormat="1" applyBorder="1"/>
    <xf numFmtId="2" fontId="1" fillId="0" borderId="39" xfId="1" applyNumberFormat="1" applyBorder="1"/>
    <xf numFmtId="2" fontId="1" fillId="0" borderId="31" xfId="1" applyNumberFormat="1" applyBorder="1"/>
    <xf numFmtId="0" fontId="15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36" xfId="1" applyBorder="1" applyAlignment="1">
      <alignment horizontal="center"/>
    </xf>
    <xf numFmtId="0" fontId="11" fillId="2" borderId="36" xfId="1" applyFont="1" applyFill="1" applyBorder="1" applyAlignment="1">
      <alignment horizontal="center"/>
    </xf>
    <xf numFmtId="0" fontId="1" fillId="0" borderId="58" xfId="1" applyBorder="1" applyAlignment="1">
      <alignment horizontal="center"/>
    </xf>
    <xf numFmtId="0" fontId="1" fillId="0" borderId="56" xfId="1" applyBorder="1" applyAlignment="1">
      <alignment horizontal="center"/>
    </xf>
    <xf numFmtId="0" fontId="11" fillId="2" borderId="56" xfId="1" applyFont="1" applyFill="1" applyBorder="1" applyAlignment="1">
      <alignment horizontal="center"/>
    </xf>
    <xf numFmtId="0" fontId="1" fillId="0" borderId="57" xfId="1" applyBorder="1" applyAlignment="1">
      <alignment horizontal="center"/>
    </xf>
    <xf numFmtId="0" fontId="13" fillId="7" borderId="1" xfId="1" applyFont="1" applyFill="1" applyBorder="1" applyAlignment="1">
      <alignment horizontal="center"/>
    </xf>
    <xf numFmtId="0" fontId="13" fillId="7" borderId="17" xfId="1" applyFont="1" applyFill="1" applyBorder="1" applyAlignment="1">
      <alignment horizontal="center"/>
    </xf>
    <xf numFmtId="0" fontId="13" fillId="7" borderId="15" xfId="1" applyFont="1" applyFill="1" applyBorder="1" applyAlignment="1">
      <alignment horizontal="center"/>
    </xf>
    <xf numFmtId="0" fontId="13" fillId="7" borderId="16" xfId="1" applyFont="1" applyFill="1" applyBorder="1" applyAlignment="1">
      <alignment horizontal="center"/>
    </xf>
    <xf numFmtId="0" fontId="13" fillId="7" borderId="26" xfId="1" applyFont="1" applyFill="1" applyBorder="1" applyAlignment="1">
      <alignment horizontal="center"/>
    </xf>
    <xf numFmtId="0" fontId="1" fillId="8" borderId="19" xfId="1" applyFill="1" applyBorder="1" applyAlignment="1">
      <alignment horizontal="center"/>
    </xf>
    <xf numFmtId="0" fontId="1" fillId="8" borderId="20" xfId="1" applyFill="1" applyBorder="1" applyAlignment="1">
      <alignment horizontal="center"/>
    </xf>
    <xf numFmtId="0" fontId="1" fillId="8" borderId="21" xfId="1" applyFill="1" applyBorder="1" applyAlignment="1">
      <alignment horizontal="center"/>
    </xf>
    <xf numFmtId="0" fontId="13" fillId="7" borderId="23" xfId="1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8" borderId="24" xfId="1" applyFill="1" applyBorder="1" applyAlignment="1">
      <alignment horizontal="center"/>
    </xf>
    <xf numFmtId="0" fontId="1" fillId="8" borderId="12" xfId="1" applyFill="1" applyBorder="1" applyAlignment="1">
      <alignment horizontal="center"/>
    </xf>
    <xf numFmtId="0" fontId="1" fillId="8" borderId="25" xfId="1" applyFill="1" applyBorder="1" applyAlignment="1">
      <alignment horizontal="center"/>
    </xf>
    <xf numFmtId="0" fontId="11" fillId="2" borderId="25" xfId="1" applyFont="1" applyFill="1" applyBorder="1" applyAlignment="1">
      <alignment horizontal="center"/>
    </xf>
    <xf numFmtId="0" fontId="13" fillId="7" borderId="28" xfId="1" applyFont="1" applyFill="1" applyBorder="1" applyAlignment="1">
      <alignment horizontal="center"/>
    </xf>
    <xf numFmtId="0" fontId="1" fillId="8" borderId="29" xfId="1" applyFill="1" applyBorder="1" applyAlignment="1">
      <alignment horizontal="center"/>
    </xf>
    <xf numFmtId="0" fontId="1" fillId="8" borderId="30" xfId="1" applyFill="1" applyBorder="1" applyAlignment="1">
      <alignment horizontal="center"/>
    </xf>
    <xf numFmtId="0" fontId="11" fillId="2" borderId="30" xfId="1" applyFont="1" applyFill="1" applyBorder="1" applyAlignment="1">
      <alignment horizontal="center"/>
    </xf>
    <xf numFmtId="0" fontId="1" fillId="8" borderId="53" xfId="1" applyFill="1" applyBorder="1" applyAlignment="1">
      <alignment horizontal="center"/>
    </xf>
    <xf numFmtId="0" fontId="11" fillId="9" borderId="20" xfId="1" applyFont="1" applyFill="1" applyBorder="1" applyAlignment="1">
      <alignment horizontal="center"/>
    </xf>
    <xf numFmtId="0" fontId="11" fillId="2" borderId="12" xfId="1" applyFont="1" applyFill="1" applyBorder="1" applyAlignment="1">
      <alignment horizontal="center"/>
    </xf>
    <xf numFmtId="0" fontId="11" fillId="9" borderId="12" xfId="1" applyFont="1" applyFill="1" applyBorder="1" applyAlignment="1">
      <alignment horizontal="center"/>
    </xf>
    <xf numFmtId="0" fontId="11" fillId="2" borderId="24" xfId="1" applyFont="1" applyFill="1" applyBorder="1" applyAlignment="1">
      <alignment horizontal="center"/>
    </xf>
    <xf numFmtId="0" fontId="16" fillId="0" borderId="0" xfId="1" applyFont="1" applyAlignment="1">
      <alignment horizontal="left" vertical="center" indent="1"/>
    </xf>
    <xf numFmtId="0" fontId="1" fillId="0" borderId="50" xfId="1" applyBorder="1" applyAlignment="1">
      <alignment vertical="center"/>
    </xf>
    <xf numFmtId="164" fontId="1" fillId="0" borderId="37" xfId="1" applyNumberFormat="1" applyBorder="1" applyAlignment="1">
      <alignment vertical="center"/>
    </xf>
    <xf numFmtId="164" fontId="1" fillId="0" borderId="12" xfId="1" applyNumberFormat="1" applyBorder="1" applyAlignment="1">
      <alignment vertical="center"/>
    </xf>
    <xf numFmtId="0" fontId="1" fillId="0" borderId="36" xfId="1" applyBorder="1" applyAlignment="1">
      <alignment vertical="center"/>
    </xf>
    <xf numFmtId="165" fontId="1" fillId="0" borderId="37" xfId="1" applyNumberFormat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0" xfId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12" fillId="0" borderId="34" xfId="2" applyBorder="1"/>
    <xf numFmtId="0" fontId="12" fillId="0" borderId="36" xfId="2" applyBorder="1"/>
    <xf numFmtId="0" fontId="12" fillId="0" borderId="38" xfId="2" applyBorder="1"/>
    <xf numFmtId="165" fontId="1" fillId="6" borderId="8" xfId="1" applyNumberFormat="1" applyFill="1" applyBorder="1"/>
    <xf numFmtId="165" fontId="1" fillId="6" borderId="0" xfId="1" applyNumberFormat="1" applyFill="1"/>
    <xf numFmtId="165" fontId="1" fillId="6" borderId="10" xfId="1" applyNumberFormat="1" applyFill="1" applyBorder="1"/>
    <xf numFmtId="165" fontId="1" fillId="6" borderId="5" xfId="1" applyNumberFormat="1" applyFill="1" applyBorder="1"/>
    <xf numFmtId="0" fontId="18" fillId="0" borderId="17" xfId="1" applyFont="1" applyBorder="1" applyAlignment="1">
      <alignment horizontal="center" vertical="center"/>
    </xf>
    <xf numFmtId="0" fontId="2" fillId="2" borderId="15" xfId="1" applyFont="1" applyFill="1" applyBorder="1" applyAlignment="1">
      <alignment horizontal="center"/>
    </xf>
    <xf numFmtId="0" fontId="1" fillId="0" borderId="35" xfId="1" applyBorder="1"/>
    <xf numFmtId="0" fontId="1" fillId="0" borderId="19" xfId="1" applyBorder="1"/>
    <xf numFmtId="0" fontId="1" fillId="0" borderId="20" xfId="1" applyBorder="1"/>
    <xf numFmtId="0" fontId="1" fillId="0" borderId="26" xfId="1" applyBorder="1"/>
    <xf numFmtId="0" fontId="1" fillId="0" borderId="37" xfId="1" applyBorder="1"/>
    <xf numFmtId="0" fontId="1" fillId="0" borderId="12" xfId="1" applyBorder="1"/>
    <xf numFmtId="0" fontId="1" fillId="0" borderId="39" xfId="1" applyBorder="1"/>
    <xf numFmtId="0" fontId="1" fillId="0" borderId="29" xfId="1" applyBorder="1"/>
    <xf numFmtId="0" fontId="1" fillId="0" borderId="30" xfId="1" applyBorder="1"/>
    <xf numFmtId="2" fontId="1" fillId="0" borderId="46" xfId="1" applyNumberFormat="1" applyBorder="1"/>
    <xf numFmtId="2" fontId="1" fillId="0" borderId="48" xfId="1" applyNumberFormat="1" applyBorder="1"/>
    <xf numFmtId="2" fontId="1" fillId="0" borderId="18" xfId="1" applyNumberFormat="1" applyBorder="1"/>
    <xf numFmtId="2" fontId="1" fillId="0" borderId="29" xfId="1" applyNumberFormat="1" applyBorder="1"/>
    <xf numFmtId="2" fontId="1" fillId="0" borderId="30" xfId="1" applyNumberFormat="1" applyBorder="1"/>
    <xf numFmtId="2" fontId="1" fillId="0" borderId="28" xfId="1" applyNumberFormat="1" applyBorder="1"/>
    <xf numFmtId="2" fontId="1" fillId="0" borderId="40" xfId="1" applyNumberFormat="1" applyBorder="1"/>
    <xf numFmtId="2" fontId="1" fillId="0" borderId="62" xfId="1" applyNumberFormat="1" applyBorder="1"/>
    <xf numFmtId="2" fontId="1" fillId="2" borderId="62" xfId="1" applyNumberFormat="1" applyFill="1" applyBorder="1"/>
    <xf numFmtId="2" fontId="1" fillId="0" borderId="42" xfId="1" applyNumberFormat="1" applyBorder="1"/>
    <xf numFmtId="2" fontId="1" fillId="0" borderId="3" xfId="1" applyNumberFormat="1" applyBorder="1"/>
    <xf numFmtId="0" fontId="2" fillId="10" borderId="14" xfId="1" applyFont="1" applyFill="1" applyBorder="1" applyAlignment="1">
      <alignment horizontal="center"/>
    </xf>
    <xf numFmtId="0" fontId="2" fillId="10" borderId="15" xfId="1" applyFont="1" applyFill="1" applyBorder="1" applyAlignment="1">
      <alignment horizontal="center"/>
    </xf>
    <xf numFmtId="0" fontId="2" fillId="10" borderId="16" xfId="1" applyFont="1" applyFill="1" applyBorder="1" applyAlignment="1">
      <alignment horizontal="center"/>
    </xf>
    <xf numFmtId="0" fontId="2" fillId="10" borderId="17" xfId="1" applyFont="1" applyFill="1" applyBorder="1" applyAlignment="1">
      <alignment horizontal="center"/>
    </xf>
    <xf numFmtId="0" fontId="2" fillId="10" borderId="33" xfId="1" applyFont="1" applyFill="1" applyBorder="1" applyAlignment="1">
      <alignment horizontal="center"/>
    </xf>
    <xf numFmtId="0" fontId="2" fillId="10" borderId="1" xfId="1" applyFont="1" applyFill="1" applyBorder="1" applyAlignment="1">
      <alignment horizontal="center"/>
    </xf>
    <xf numFmtId="2" fontId="1" fillId="0" borderId="20" xfId="1" applyNumberFormat="1" applyBorder="1"/>
    <xf numFmtId="2" fontId="1" fillId="0" borderId="19" xfId="1" applyNumberFormat="1" applyBorder="1"/>
    <xf numFmtId="2" fontId="1" fillId="0" borderId="34" xfId="1" applyNumberFormat="1" applyBorder="1"/>
    <xf numFmtId="2" fontId="1" fillId="0" borderId="12" xfId="1" applyNumberFormat="1" applyBorder="1"/>
    <xf numFmtId="2" fontId="1" fillId="0" borderId="36" xfId="1" applyNumberFormat="1" applyBorder="1"/>
    <xf numFmtId="2" fontId="1" fillId="0" borderId="38" xfId="1" applyNumberFormat="1" applyBorder="1"/>
    <xf numFmtId="0" fontId="19" fillId="0" borderId="1" xfId="2" applyFont="1" applyBorder="1" applyAlignment="1">
      <alignment horizontal="center"/>
    </xf>
    <xf numFmtId="0" fontId="19" fillId="0" borderId="17" xfId="2" applyFont="1" applyBorder="1" applyAlignment="1">
      <alignment horizontal="center"/>
    </xf>
    <xf numFmtId="0" fontId="19" fillId="0" borderId="33" xfId="2" applyFont="1" applyBorder="1" applyAlignment="1">
      <alignment horizontal="center"/>
    </xf>
    <xf numFmtId="0" fontId="12" fillId="0" borderId="26" xfId="2" applyBorder="1" applyAlignment="1">
      <alignment horizontal="center"/>
    </xf>
    <xf numFmtId="0" fontId="12" fillId="0" borderId="19" xfId="2" applyBorder="1"/>
    <xf numFmtId="0" fontId="12" fillId="0" borderId="26" xfId="2" applyBorder="1"/>
    <xf numFmtId="0" fontId="12" fillId="0" borderId="23" xfId="2" applyBorder="1" applyAlignment="1">
      <alignment horizontal="center"/>
    </xf>
    <xf numFmtId="0" fontId="12" fillId="0" borderId="24" xfId="2" applyBorder="1"/>
    <xf numFmtId="0" fontId="12" fillId="0" borderId="23" xfId="2" applyBorder="1"/>
    <xf numFmtId="0" fontId="20" fillId="0" borderId="44" xfId="2" applyFont="1" applyBorder="1" applyAlignment="1">
      <alignment horizontal="centerContinuous"/>
    </xf>
    <xf numFmtId="0" fontId="12" fillId="0" borderId="28" xfId="2" applyBorder="1" applyAlignment="1">
      <alignment horizontal="center"/>
    </xf>
    <xf numFmtId="0" fontId="12" fillId="0" borderId="29" xfId="2" applyBorder="1"/>
    <xf numFmtId="0" fontId="12" fillId="0" borderId="28" xfId="2" applyBorder="1"/>
    <xf numFmtId="0" fontId="19" fillId="2" borderId="1" xfId="2" applyFont="1" applyFill="1" applyBorder="1"/>
    <xf numFmtId="0" fontId="12" fillId="0" borderId="5" xfId="2" applyBorder="1"/>
    <xf numFmtId="0" fontId="19" fillId="0" borderId="14" xfId="2" applyFont="1" applyBorder="1" applyAlignment="1">
      <alignment horizontal="center"/>
    </xf>
    <xf numFmtId="0" fontId="12" fillId="0" borderId="35" xfId="2" applyBorder="1"/>
    <xf numFmtId="0" fontId="12" fillId="0" borderId="39" xfId="2" applyBorder="1"/>
    <xf numFmtId="0" fontId="19" fillId="0" borderId="0" xfId="2" applyFont="1"/>
    <xf numFmtId="0" fontId="20" fillId="0" borderId="44" xfId="2" applyFont="1" applyBorder="1" applyAlignment="1">
      <alignment horizontal="center"/>
    </xf>
    <xf numFmtId="0" fontId="19" fillId="2" borderId="0" xfId="2" applyFont="1" applyFill="1"/>
    <xf numFmtId="0" fontId="19" fillId="0" borderId="12" xfId="2" applyFont="1" applyBorder="1" applyAlignment="1">
      <alignment horizontal="center"/>
    </xf>
    <xf numFmtId="0" fontId="12" fillId="0" borderId="12" xfId="2" applyBorder="1" applyAlignment="1">
      <alignment horizontal="center"/>
    </xf>
    <xf numFmtId="0" fontId="12" fillId="0" borderId="12" xfId="2" applyBorder="1"/>
    <xf numFmtId="0" fontId="19" fillId="0" borderId="0" xfId="2" applyFont="1" applyAlignment="1">
      <alignment horizontal="right"/>
    </xf>
    <xf numFmtId="10" fontId="12" fillId="0" borderId="0" xfId="2" applyNumberFormat="1"/>
    <xf numFmtId="0" fontId="12" fillId="0" borderId="0" xfId="2" applyAlignment="1">
      <alignment horizontal="center"/>
    </xf>
    <xf numFmtId="0" fontId="19" fillId="0" borderId="0" xfId="2" applyFont="1" applyAlignment="1">
      <alignment horizontal="center"/>
    </xf>
    <xf numFmtId="164" fontId="12" fillId="0" borderId="12" xfId="2" applyNumberFormat="1" applyBorder="1" applyAlignment="1">
      <alignment horizontal="center"/>
    </xf>
    <xf numFmtId="0" fontId="1" fillId="0" borderId="18" xfId="1" applyBorder="1" applyAlignment="1">
      <alignment horizontal="center"/>
    </xf>
    <xf numFmtId="164" fontId="1" fillId="0" borderId="49" xfId="1" applyNumberFormat="1" applyBorder="1"/>
    <xf numFmtId="0" fontId="1" fillId="0" borderId="63" xfId="1" applyBorder="1"/>
    <xf numFmtId="165" fontId="1" fillId="11" borderId="59" xfId="1" applyNumberFormat="1" applyFill="1" applyBorder="1"/>
    <xf numFmtId="165" fontId="1" fillId="11" borderId="6" xfId="1" applyNumberFormat="1" applyFill="1" applyBorder="1"/>
    <xf numFmtId="0" fontId="1" fillId="11" borderId="7" xfId="1" applyFill="1" applyBorder="1"/>
    <xf numFmtId="165" fontId="1" fillId="11" borderId="8" xfId="1" applyNumberFormat="1" applyFill="1" applyBorder="1"/>
    <xf numFmtId="0" fontId="1" fillId="11" borderId="9" xfId="1" applyFill="1" applyBorder="1"/>
    <xf numFmtId="0" fontId="1" fillId="6" borderId="9" xfId="1" applyFill="1" applyBorder="1"/>
    <xf numFmtId="0" fontId="1" fillId="6" borderId="4" xfId="1" applyFill="1" applyBorder="1"/>
    <xf numFmtId="165" fontId="1" fillId="11" borderId="0" xfId="1" applyNumberFormat="1" applyFill="1"/>
    <xf numFmtId="165" fontId="1" fillId="11" borderId="10" xfId="1" applyNumberFormat="1" applyFill="1" applyBorder="1"/>
    <xf numFmtId="165" fontId="1" fillId="11" borderId="5" xfId="1" applyNumberFormat="1" applyFill="1" applyBorder="1"/>
    <xf numFmtId="0" fontId="1" fillId="11" borderId="4" xfId="1" applyFill="1" applyBorder="1"/>
    <xf numFmtId="0" fontId="1" fillId="6" borderId="0" xfId="1" applyFill="1"/>
    <xf numFmtId="0" fontId="1" fillId="6" borderId="5" xfId="1" applyFill="1" applyBorder="1"/>
    <xf numFmtId="166" fontId="1" fillId="0" borderId="26" xfId="1" applyNumberFormat="1" applyBorder="1"/>
    <xf numFmtId="166" fontId="1" fillId="0" borderId="23" xfId="1" applyNumberFormat="1" applyBorder="1"/>
    <xf numFmtId="166" fontId="1" fillId="0" borderId="28" xfId="1" applyNumberFormat="1" applyBorder="1"/>
    <xf numFmtId="166" fontId="11" fillId="2" borderId="1" xfId="1" applyNumberFormat="1" applyFont="1" applyFill="1" applyBorder="1"/>
    <xf numFmtId="0" fontId="19" fillId="2" borderId="12" xfId="2" applyFont="1" applyFill="1" applyBorder="1"/>
    <xf numFmtId="165" fontId="1" fillId="0" borderId="59" xfId="1" applyNumberFormat="1" applyBorder="1"/>
    <xf numFmtId="165" fontId="1" fillId="0" borderId="6" xfId="1" applyNumberFormat="1" applyBorder="1"/>
    <xf numFmtId="0" fontId="1" fillId="0" borderId="7" xfId="1" applyBorder="1"/>
    <xf numFmtId="165" fontId="1" fillId="0" borderId="8" xfId="1" applyNumberFormat="1" applyBorder="1"/>
    <xf numFmtId="0" fontId="1" fillId="0" borderId="9" xfId="1" applyBorder="1"/>
    <xf numFmtId="165" fontId="1" fillId="0" borderId="10" xfId="1" applyNumberFormat="1" applyBorder="1"/>
    <xf numFmtId="165" fontId="1" fillId="0" borderId="5" xfId="1" applyNumberFormat="1" applyBorder="1"/>
    <xf numFmtId="0" fontId="1" fillId="0" borderId="4" xfId="1" applyBorder="1"/>
    <xf numFmtId="165" fontId="1" fillId="0" borderId="0" xfId="1" applyNumberFormat="1"/>
    <xf numFmtId="0" fontId="12" fillId="11" borderId="12" xfId="2" applyFill="1" applyBorder="1"/>
    <xf numFmtId="17" fontId="0" fillId="0" borderId="0" xfId="0" applyNumberFormat="1"/>
    <xf numFmtId="4" fontId="0" fillId="0" borderId="0" xfId="0" applyNumberFormat="1"/>
    <xf numFmtId="0" fontId="22" fillId="0" borderId="0" xfId="0" applyFont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23" fillId="0" borderId="0" xfId="2" applyFont="1"/>
    <xf numFmtId="0" fontId="0" fillId="0" borderId="5" xfId="0" applyBorder="1"/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Continuous"/>
    </xf>
    <xf numFmtId="0" fontId="0" fillId="2" borderId="0" xfId="0" applyFill="1"/>
    <xf numFmtId="0" fontId="0" fillId="2" borderId="5" xfId="0" applyFill="1" applyBorder="1"/>
    <xf numFmtId="0" fontId="0" fillId="0" borderId="0" xfId="0" applyAlignment="1">
      <alignment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1" fillId="0" borderId="5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4" fillId="0" borderId="60" xfId="1" applyFont="1" applyBorder="1" applyAlignment="1">
      <alignment horizontal="center"/>
    </xf>
    <xf numFmtId="0" fontId="14" fillId="0" borderId="11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0" borderId="16" xfId="1" applyFont="1" applyBorder="1" applyAlignment="1">
      <alignment horizontal="center"/>
    </xf>
    <xf numFmtId="0" fontId="1" fillId="0" borderId="60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49" xfId="1" applyBorder="1" applyAlignment="1">
      <alignment horizontal="left"/>
    </xf>
    <xf numFmtId="0" fontId="1" fillId="0" borderId="46" xfId="1" applyBorder="1" applyAlignment="1">
      <alignment horizontal="left"/>
    </xf>
    <xf numFmtId="0" fontId="1" fillId="0" borderId="48" xfId="1" applyBorder="1" applyAlignment="1">
      <alignment horizontal="left"/>
    </xf>
    <xf numFmtId="0" fontId="1" fillId="0" borderId="29" xfId="1" applyBorder="1" applyAlignment="1">
      <alignment horizontal="left"/>
    </xf>
    <xf numFmtId="0" fontId="1" fillId="0" borderId="30" xfId="1" applyBorder="1" applyAlignment="1">
      <alignment horizontal="left"/>
    </xf>
    <xf numFmtId="0" fontId="1" fillId="0" borderId="31" xfId="1" applyBorder="1" applyAlignment="1">
      <alignment horizontal="left"/>
    </xf>
  </cellXfs>
  <cellStyles count="3">
    <cellStyle name="Normal" xfId="0" builtinId="0"/>
    <cellStyle name="Normal 2" xfId="1" xr:uid="{EF91993C-63B4-48D2-99EC-47E4916227FD}"/>
    <cellStyle name="Normal 3" xfId="2" xr:uid="{BF4723F8-20E4-4604-9649-A8CA338D86F6}"/>
  </cellStyles>
  <dxfs count="4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4" formatCode="#,##0.00"/>
    </dxf>
    <dxf>
      <numFmt numFmtId="22" formatCode="mmm/yy"/>
    </dxf>
    <dxf>
      <numFmt numFmtId="4" formatCode="#,##0.00"/>
    </dxf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'Forecase Sheet (Output-1)'!$B$1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'Forecase Sheet (Output-1)'!$B$2:$B$26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0-4979-9BE6-FE24A4F24CE2}"/>
            </c:ext>
          </c:extLst>
        </c:ser>
        <c:ser>
          <c:idx val="1"/>
          <c:order val="1"/>
          <c:tx>
            <c:strRef>
              <c:f>'Forecase Sheet (Output-1)'!$C$1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(Output-1)'!$C$2:$C$26</c:f>
              <c:numCache>
                <c:formatCode>General</c:formatCode>
                <c:ptCount val="25"/>
                <c:pt idx="15">
                  <c:v>1790</c:v>
                </c:pt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0-4979-9BE6-FE24A4F24CE2}"/>
            </c:ext>
          </c:extLst>
        </c:ser>
        <c:ser>
          <c:idx val="2"/>
          <c:order val="2"/>
          <c:tx>
            <c:strRef>
              <c:f>'Forecase Sheet (Output-1)'!$D$1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(Output-1)'!$D$2:$D$26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1472.0054534267915</c:v>
                </c:pt>
                <c:pt idx="17" formatCode="0.00">
                  <c:v>1480.331059044245</c:v>
                </c:pt>
                <c:pt idx="18" formatCode="0.00">
                  <c:v>1488.8605973843114</c:v>
                </c:pt>
                <c:pt idx="19" formatCode="0.00">
                  <c:v>1497.5767711333287</c:v>
                </c:pt>
                <c:pt idx="20" formatCode="0.00">
                  <c:v>1506.4644455464177</c:v>
                </c:pt>
                <c:pt idx="21" formatCode="0.00">
                  <c:v>1515.5102906885868</c:v>
                </c:pt>
                <c:pt idx="22" formatCode="0.00">
                  <c:v>1524.7024961685115</c:v>
                </c:pt>
                <c:pt idx="23" formatCode="0.00">
                  <c:v>1534.0305412010712</c:v>
                </c:pt>
                <c:pt idx="24" formatCode="0.00">
                  <c:v>1543.1771433868537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A0-4979-9BE6-FE24A4F24CE2}"/>
            </c:ext>
          </c:extLst>
        </c:ser>
        <c:ser>
          <c:idx val="3"/>
          <c:order val="3"/>
          <c:tx>
            <c:strRef>
              <c:f>'Forecase Sheet (Output-1)'!$E$1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(Output-1)'!$E$2:$E$26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2081.3068990021725</c:v>
                </c:pt>
                <c:pt idx="17" formatCode="0.00">
                  <c:v>2108.5326689419398</c:v>
                </c:pt>
                <c:pt idx="18" formatCode="0.00">
                  <c:v>2135.5545061590951</c:v>
                </c:pt>
                <c:pt idx="19" formatCode="0.00">
                  <c:v>2162.3897079672988</c:v>
                </c:pt>
                <c:pt idx="20" formatCode="0.00">
                  <c:v>2189.0534091114314</c:v>
                </c:pt>
                <c:pt idx="21" formatCode="0.00">
                  <c:v>2215.5589395264838</c:v>
                </c:pt>
                <c:pt idx="22" formatCode="0.00">
                  <c:v>2241.9181096037801</c:v>
                </c:pt>
                <c:pt idx="23" formatCode="0.00">
                  <c:v>2268.1414401284419</c:v>
                </c:pt>
                <c:pt idx="24" formatCode="0.00">
                  <c:v>2293.3993949335181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A0-4979-9BE6-FE24A4F24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32879"/>
        <c:axId val="2104533359"/>
      </c:lineChart>
      <c:catAx>
        <c:axId val="2104532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3359"/>
        <c:crosses val="autoZero"/>
        <c:auto val="1"/>
        <c:lblAlgn val="ctr"/>
        <c:lblOffset val="100"/>
        <c:noMultiLvlLbl val="0"/>
      </c:catAx>
      <c:valAx>
        <c:axId val="21045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Sheet (Output-2)'!$B$1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Sheet (Output-2)'!$B$2:$B$26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A-42E3-9143-C6894FC42B47}"/>
            </c:ext>
          </c:extLst>
        </c:ser>
        <c:ser>
          <c:idx val="1"/>
          <c:order val="1"/>
          <c:tx>
            <c:strRef>
              <c:f>'Forecast Sheet (Output-2)'!$C$1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plus>
            <c:min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Sheet (Output-2)'!$A$2:$A$26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'Forecast Sheet (Output-2)'!$C$2:$C$26</c:f>
              <c:numCache>
                <c:formatCode>General</c:formatCode>
                <c:ptCount val="25"/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A-42E3-9143-C6894FC42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04508879"/>
        <c:axId val="2104506479"/>
      </c:barChart>
      <c:catAx>
        <c:axId val="2104508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6479"/>
        <c:crosses val="autoZero"/>
        <c:auto val="1"/>
        <c:lblAlgn val="ctr"/>
        <c:lblOffset val="100"/>
        <c:noMultiLvlLbl val="0"/>
      </c:catAx>
      <c:valAx>
        <c:axId val="21045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 vs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295698198988395"/>
                  <c:y val="-0.28946895807297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8-4D52-94BA-A3F6A13DEED8}"/>
            </c:ext>
          </c:extLst>
        </c:ser>
        <c:ser>
          <c:idx val="1"/>
          <c:order val="1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'Correlation &amp; Regression-1'!$F$14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'Correlation &amp; Regression-1'!$G$14</c:f>
              <c:numCache>
                <c:formatCode>General</c:formatCode>
                <c:ptCount val="1"/>
                <c:pt idx="0">
                  <c:v>77.139303482587067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68-4D52-94BA-A3F6A13DEED8}"/>
            </c:ext>
          </c:extLst>
        </c:ser>
        <c:ser>
          <c:idx val="2"/>
          <c:order val="2"/>
          <c:tx>
            <c:v>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'Correlation &amp; Regression-1'!$F$15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'Correlation &amp; Regression-1'!$G$15</c:f>
              <c:numCache>
                <c:formatCode>General</c:formatCode>
                <c:ptCount val="1"/>
                <c:pt idx="0">
                  <c:v>66.273631840796014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68-4D52-94BA-A3F6A13DEED8}"/>
            </c:ext>
          </c:extLst>
        </c:ser>
        <c:ser>
          <c:idx val="3"/>
          <c:order val="3"/>
          <c:tx>
            <c:v>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'Correlation &amp; Regression-1'!$F$16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'Correlation &amp; Regression-1'!$G$16</c:f>
              <c:numCache>
                <c:formatCode>General</c:formatCode>
                <c:ptCount val="1"/>
                <c:pt idx="0">
                  <c:v>62.651741293532339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68-4D52-94BA-A3F6A13DE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5072"/>
        <c:axId val="1705416800"/>
      </c:scatterChart>
      <c:valAx>
        <c:axId val="1962750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6800"/>
        <c:crosses val="autoZero"/>
        <c:crossBetween val="midCat"/>
      </c:valAx>
      <c:valAx>
        <c:axId val="17054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Exam Marks % vs. Absent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 vs.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4436942257217849"/>
                  <c:y val="-0.38253845599650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 (2)'!$C$4:$C$10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 (2)'!$D$4:$D$10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4-42D3-B9DD-AA255A15D796}"/>
            </c:ext>
          </c:extLst>
        </c:ser>
        <c:ser>
          <c:idx val="1"/>
          <c:order val="1"/>
          <c:tx>
            <c:v>Test Rows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&amp; Regression-1 (2)'!$F$14:$F$16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13</c:v>
                </c:pt>
              </c:numCache>
            </c:numRef>
          </c:xVal>
          <c:yVal>
            <c:numRef>
              <c:f>'Correlation &amp; Regression-1 (2)'!$G$14:$G$16</c:f>
              <c:numCache>
                <c:formatCode>General</c:formatCode>
                <c:ptCount val="3"/>
                <c:pt idx="0">
                  <c:v>66.273631840796014</c:v>
                </c:pt>
                <c:pt idx="1">
                  <c:v>62.651741293532332</c:v>
                </c:pt>
                <c:pt idx="2">
                  <c:v>55.407960199004968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14-42D3-B9DD-AA255A15D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046576"/>
        <c:axId val="1739251056"/>
      </c:scatterChart>
      <c:valAx>
        <c:axId val="1895046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51056"/>
        <c:crosses val="autoZero"/>
        <c:crossBetween val="midCat"/>
      </c:valAx>
      <c:valAx>
        <c:axId val="17392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Exam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4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K-NN 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'K-NN'!$B$2:$B$6</c:f>
              <c:numCache>
                <c:formatCode>0.0</c:formatCode>
                <c:ptCount val="5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</c:numCache>
            </c:numRef>
          </c:xVal>
          <c:yVal>
            <c:numRef>
              <c:f>'K-NN'!$C$2:$C$6</c:f>
              <c:numCache>
                <c:formatCode>0.0</c:formatCode>
                <c:ptCount val="5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F-48BF-9D1C-1C9AC4F5E85F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'K-NN'!$B$7:$B$11</c:f>
              <c:numCache>
                <c:formatCode>0.0</c:formatCode>
                <c:ptCount val="5"/>
                <c:pt idx="0">
                  <c:v>5.5</c:v>
                </c:pt>
                <c:pt idx="1">
                  <c:v>6.5</c:v>
                </c:pt>
                <c:pt idx="2">
                  <c:v>5.7</c:v>
                </c:pt>
                <c:pt idx="3">
                  <c:v>6.3</c:v>
                </c:pt>
                <c:pt idx="4">
                  <c:v>4.9000000000000004</c:v>
                </c:pt>
              </c:numCache>
            </c:numRef>
          </c:xVal>
          <c:yVal>
            <c:numRef>
              <c:f>'K-NN'!$C$7:$C$11</c:f>
              <c:numCache>
                <c:formatCode>0.0</c:formatCode>
                <c:ptCount val="5"/>
                <c:pt idx="0">
                  <c:v>2.2999999999999998</c:v>
                </c:pt>
                <c:pt idx="1">
                  <c:v>2.8</c:v>
                </c:pt>
                <c:pt idx="2">
                  <c:v>2.8</c:v>
                </c:pt>
                <c:pt idx="3">
                  <c:v>3.3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F-48BF-9D1C-1C9AC4F5E85F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'K-NN'!$B$12:$B$16</c:f>
              <c:numCache>
                <c:formatCode>0.0</c:formatCode>
                <c:ptCount val="5"/>
                <c:pt idx="0">
                  <c:v>7.2</c:v>
                </c:pt>
                <c:pt idx="1">
                  <c:v>6.5</c:v>
                </c:pt>
                <c:pt idx="2">
                  <c:v>6.4</c:v>
                </c:pt>
                <c:pt idx="3">
                  <c:v>6.8</c:v>
                </c:pt>
                <c:pt idx="4">
                  <c:v>5.7</c:v>
                </c:pt>
              </c:numCache>
            </c:numRef>
          </c:xVal>
          <c:yVal>
            <c:numRef>
              <c:f>'K-NN'!$C$12:$C$16</c:f>
              <c:numCache>
                <c:formatCode>0.0</c:formatCode>
                <c:ptCount val="5"/>
                <c:pt idx="0">
                  <c:v>3.6</c:v>
                </c:pt>
                <c:pt idx="1">
                  <c:v>3.2</c:v>
                </c:pt>
                <c:pt idx="2">
                  <c:v>2.7</c:v>
                </c:pt>
                <c:pt idx="3">
                  <c:v>3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F-48BF-9D1C-1C9AC4F5E85F}"/>
            </c:ext>
          </c:extLst>
        </c:ser>
        <c:ser>
          <c:idx val="3"/>
          <c:order val="3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7030A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'K-NN'!$J$3</c:f>
              <c:numCache>
                <c:formatCode>General</c:formatCode>
                <c:ptCount val="1"/>
                <c:pt idx="0">
                  <c:v>5.25</c:v>
                </c:pt>
              </c:numCache>
            </c:numRef>
          </c:xVal>
          <c:yVal>
            <c:numRef>
              <c:f>'K-NN'!$K$3</c:f>
              <c:numCache>
                <c:formatCode>0.0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F-48BF-9D1C-1C9AC4F5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14751"/>
        <c:axId val="845215231"/>
      </c:scatterChart>
      <c:valAx>
        <c:axId val="845214751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Length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5231"/>
        <c:crosses val="autoZero"/>
        <c:crossBetween val="midCat"/>
      </c:valAx>
      <c:valAx>
        <c:axId val="845215231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Width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Clustering'!$C$4:$C$6</c:f>
              <c:numCache>
                <c:formatCode>0.00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3</c:v>
                </c:pt>
              </c:numCache>
            </c:numRef>
          </c:xVal>
          <c:yVal>
            <c:numRef>
              <c:f>'K-Means Clustering'!$D$4:$D$6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7-4653-87C3-628832BA6521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Clustering'!$C$7:$C$10</c:f>
              <c:numCache>
                <c:formatCode>0.00</c:formatCode>
                <c:ptCount val="4"/>
                <c:pt idx="0">
                  <c:v>5</c:v>
                </c:pt>
                <c:pt idx="1">
                  <c:v>3.5</c:v>
                </c:pt>
                <c:pt idx="2">
                  <c:v>4.5</c:v>
                </c:pt>
                <c:pt idx="3">
                  <c:v>3.5</c:v>
                </c:pt>
              </c:numCache>
            </c:numRef>
          </c:xVal>
          <c:yVal>
            <c:numRef>
              <c:f>'K-Means Clustering'!$D$7:$D$10</c:f>
              <c:numCache>
                <c:formatCode>0.00</c:formatCode>
                <c:ptCount val="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7-4653-87C3-628832BA6521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Clustering'!$C$14</c:f>
              <c:numCache>
                <c:formatCode>0.00</c:formatCode>
                <c:ptCount val="1"/>
                <c:pt idx="0">
                  <c:v>1.8333333333333333</c:v>
                </c:pt>
              </c:numCache>
            </c:numRef>
          </c:xVal>
          <c:yVal>
            <c:numRef>
              <c:f>'K-Means Clustering'!$D$14</c:f>
              <c:numCache>
                <c:formatCode>0.00</c:formatCode>
                <c:ptCount val="1"/>
                <c:pt idx="0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7-4653-87C3-628832BA6521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Clustering'!$C$15</c:f>
              <c:numCache>
                <c:formatCode>0.00</c:formatCode>
                <c:ptCount val="1"/>
                <c:pt idx="0">
                  <c:v>4.125</c:v>
                </c:pt>
              </c:numCache>
            </c:numRef>
          </c:xVal>
          <c:yVal>
            <c:numRef>
              <c:f>'K-Means Clustering'!$D$15</c:f>
              <c:numCache>
                <c:formatCode>0.00</c:formatCode>
                <c:ptCount val="1"/>
                <c:pt idx="0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7-4653-87C3-628832BA6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Clustering'!$C$4:$C$10</c:f>
              <c:numCache>
                <c:formatCode>0.00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'K-Means Clustering'!$D$4:$D$10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8-4B6B-8BC3-7C7899A3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Clustering'!$C$4:$C$5</c:f>
              <c:numCache>
                <c:formatCode>0.00</c:formatCode>
                <c:ptCount val="2"/>
                <c:pt idx="0">
                  <c:v>1</c:v>
                </c:pt>
                <c:pt idx="1">
                  <c:v>1.5</c:v>
                </c:pt>
              </c:numCache>
            </c:numRef>
          </c:xVal>
          <c:yVal>
            <c:numRef>
              <c:f>'K-Means Clustering'!$D$4:$D$5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8-49ED-A5C9-173662C57D7D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Clustering'!$C$6:$C$10</c:f>
              <c:numCache>
                <c:formatCode>0.00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3.5</c:v>
                </c:pt>
                <c:pt idx="3">
                  <c:v>4.5</c:v>
                </c:pt>
                <c:pt idx="4">
                  <c:v>3.5</c:v>
                </c:pt>
              </c:numCache>
            </c:numRef>
          </c:xVal>
          <c:yVal>
            <c:numRef>
              <c:f>'K-Means Clustering'!$D$6:$D$10</c:f>
              <c:numCache>
                <c:formatCode>0.00</c:formatCode>
                <c:ptCount val="5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8-49ED-A5C9-173662C57D7D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Clustering'!$C$16</c:f>
              <c:numCache>
                <c:formatCode>0.00</c:formatCode>
                <c:ptCount val="1"/>
                <c:pt idx="0">
                  <c:v>1.25</c:v>
                </c:pt>
              </c:numCache>
            </c:numRef>
          </c:xVal>
          <c:yVal>
            <c:numRef>
              <c:f>'K-Means Clustering'!$D$16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58-49ED-A5C9-173662C57D7D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Clustering'!$C$17</c:f>
              <c:numCache>
                <c:formatCode>0.00</c:formatCode>
                <c:ptCount val="1"/>
                <c:pt idx="0">
                  <c:v>3.9</c:v>
                </c:pt>
              </c:numCache>
            </c:numRef>
          </c:xVal>
          <c:yVal>
            <c:numRef>
              <c:f>'K-Means Clustering'!$D$17</c:f>
              <c:numCache>
                <c:formatCode>0.00</c:formatCode>
                <c:ptCount val="1"/>
                <c:pt idx="0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58-49ED-A5C9-173662C57D7D}"/>
            </c:ext>
          </c:extLst>
        </c:ser>
        <c:ser>
          <c:idx val="4"/>
          <c:order val="4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5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'K-Means Clustering'!$B$21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'K-Means Clustering'!$C$21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58-49ED-A5C9-173662C5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ROC!$E$15:$K$15</c:f>
              <c:numCache>
                <c:formatCode>0.00</c:formatCode>
                <c:ptCount val="7"/>
                <c:pt idx="0">
                  <c:v>0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0.33333333333333331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ROC!$E$16:$K$16</c:f>
              <c:numCache>
                <c:formatCode>0.00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D-496F-A0D4-C4DDF827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208560"/>
        <c:axId val="1042294400"/>
      </c:scatterChart>
      <c:valAx>
        <c:axId val="109720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False Positive Rate (FPR=FP/N=FP/(FP+TN))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94400"/>
        <c:crosses val="autoZero"/>
        <c:crossBetween val="midCat"/>
      </c:valAx>
      <c:valAx>
        <c:axId val="10422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Positive Rate (TPR=TP/P=TP/(TP+FN))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085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8</xdr:row>
      <xdr:rowOff>175260</xdr:rowOff>
    </xdr:from>
    <xdr:to>
      <xdr:col>17</xdr:col>
      <xdr:colOff>7619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500A7-400B-2000-2382-0A2A4694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9</xdr:row>
      <xdr:rowOff>11431</xdr:rowOff>
    </xdr:from>
    <xdr:to>
      <xdr:col>19</xdr:col>
      <xdr:colOff>22859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1DFE8-BF4E-D07D-1ECF-FCA231E1D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EDBEE-4571-41F6-B785-9DEBF98B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135431</xdr:colOff>
      <xdr:row>0</xdr:row>
      <xdr:rowOff>52643</xdr:rowOff>
    </xdr:from>
    <xdr:to>
      <xdr:col>13</xdr:col>
      <xdr:colOff>355065</xdr:colOff>
      <xdr:row>6</xdr:row>
      <xdr:rowOff>37325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EA839-68DD-40EC-8867-E73FE6E9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2631" y="52643"/>
          <a:ext cx="3877234" cy="1036242"/>
        </a:xfrm>
        <a:prstGeom prst="rect">
          <a:avLst/>
        </a:prstGeom>
      </xdr:spPr>
    </xdr:pic>
    <xdr:clientData/>
  </xdr:twoCellAnchor>
  <xdr:twoCellAnchor>
    <xdr:from>
      <xdr:col>8</xdr:col>
      <xdr:colOff>183776</xdr:colOff>
      <xdr:row>11</xdr:row>
      <xdr:rowOff>26893</xdr:rowOff>
    </xdr:from>
    <xdr:to>
      <xdr:col>14</xdr:col>
      <xdr:colOff>282388</xdr:colOff>
      <xdr:row>25</xdr:row>
      <xdr:rowOff>49305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54538A-B331-4CF6-8AB6-BD9366521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9C21F-5E94-40E9-9EF7-A703D8877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108926</xdr:colOff>
      <xdr:row>0</xdr:row>
      <xdr:rowOff>12886</xdr:rowOff>
    </xdr:from>
    <xdr:to>
      <xdr:col>13</xdr:col>
      <xdr:colOff>328560</xdr:colOff>
      <xdr:row>5</xdr:row>
      <xdr:rowOff>169847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BAB3D9-5C89-47B9-9F95-B87E50C8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6126" y="12886"/>
          <a:ext cx="3877234" cy="1018352"/>
        </a:xfrm>
        <a:prstGeom prst="rect">
          <a:avLst/>
        </a:prstGeom>
      </xdr:spPr>
    </xdr:pic>
    <xdr:clientData/>
  </xdr:twoCellAnchor>
  <xdr:twoCellAnchor>
    <xdr:from>
      <xdr:col>7</xdr:col>
      <xdr:colOff>182881</xdr:colOff>
      <xdr:row>11</xdr:row>
      <xdr:rowOff>26946</xdr:rowOff>
    </xdr:from>
    <xdr:to>
      <xdr:col>14</xdr:col>
      <xdr:colOff>487681</xdr:colOff>
      <xdr:row>27</xdr:row>
      <xdr:rowOff>13694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EA70EE-7B4F-BF40-1A76-276128D61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126999</xdr:colOff>
      <xdr:row>0</xdr:row>
      <xdr:rowOff>63500</xdr:rowOff>
    </xdr:from>
    <xdr:to>
      <xdr:col>18</xdr:col>
      <xdr:colOff>162360</xdr:colOff>
      <xdr:row>7</xdr:row>
      <xdr:rowOff>84666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9D396-C9B0-4F22-9139-2B7B40C2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199" y="63500"/>
          <a:ext cx="8295441" cy="15756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410633</xdr:colOff>
      <xdr:row>11</xdr:row>
      <xdr:rowOff>101601</xdr:rowOff>
    </xdr:from>
    <xdr:to>
      <xdr:col>20</xdr:col>
      <xdr:colOff>109009</xdr:colOff>
      <xdr:row>15</xdr:row>
      <xdr:rowOff>225426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39FE2-F88C-4E0B-9613-484290481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513" y="2600961"/>
          <a:ext cx="4117976" cy="106870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158751</xdr:colOff>
      <xdr:row>26</xdr:row>
      <xdr:rowOff>232834</xdr:rowOff>
    </xdr:from>
    <xdr:to>
      <xdr:col>20</xdr:col>
      <xdr:colOff>619127</xdr:colOff>
      <xdr:row>37</xdr:row>
      <xdr:rowOff>40217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D7FFD-D79B-42A5-AF9A-1563C564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9631" y="5985934"/>
          <a:ext cx="4879976" cy="221530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222249</xdr:colOff>
      <xdr:row>44</xdr:row>
      <xdr:rowOff>21166</xdr:rowOff>
    </xdr:from>
    <xdr:to>
      <xdr:col>20</xdr:col>
      <xdr:colOff>663575</xdr:colOff>
      <xdr:row>54</xdr:row>
      <xdr:rowOff>73024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D8D18-FE1E-4713-8212-5F825AABA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3129" y="9790006"/>
          <a:ext cx="4860926" cy="221593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11</xdr:col>
      <xdr:colOff>21166</xdr:colOff>
      <xdr:row>56</xdr:row>
      <xdr:rowOff>31750</xdr:rowOff>
    </xdr:from>
    <xdr:to>
      <xdr:col>18</xdr:col>
      <xdr:colOff>16932</xdr:colOff>
      <xdr:row>65</xdr:row>
      <xdr:rowOff>68471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59DAB1-3E2B-4FE8-BD1A-389FA7CF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606" y="12330430"/>
          <a:ext cx="5573606" cy="216270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575310</xdr:colOff>
      <xdr:row>58</xdr:row>
      <xdr:rowOff>148982</xdr:rowOff>
    </xdr:to>
    <xdr:pic>
      <xdr:nvPicPr>
        <xdr:cNvPr id="7" name="Picture 6" descr="Gini Index Calculation">
          <a:extLst>
            <a:ext uri="{FF2B5EF4-FFF2-40B4-BE49-F238E27FC236}">
              <a16:creationId xmlns:a16="http://schemas.microsoft.com/office/drawing/2014/main" id="{9D39BA91-4850-42C3-BD7A-231404302C04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115800"/>
          <a:ext cx="2922270" cy="86526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93980</xdr:colOff>
      <xdr:row>4</xdr:row>
      <xdr:rowOff>66040</xdr:rowOff>
    </xdr:from>
    <xdr:to>
      <xdr:col>15</xdr:col>
      <xdr:colOff>104140</xdr:colOff>
      <xdr:row>19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4D948-9AF8-9B10-CC11-CB8EAA57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15</xdr:row>
      <xdr:rowOff>158750</xdr:rowOff>
    </xdr:from>
    <xdr:to>
      <xdr:col>23</xdr:col>
      <xdr:colOff>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DFDFA-9695-A03E-D0E2-139040B86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292100</xdr:colOff>
      <xdr:row>0</xdr:row>
      <xdr:rowOff>120650</xdr:rowOff>
    </xdr:from>
    <xdr:to>
      <xdr:col>22</xdr:col>
      <xdr:colOff>596900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D7DA0-3C0F-4ED7-8EE4-360581D8A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10</xdr:row>
      <xdr:rowOff>184150</xdr:rowOff>
    </xdr:from>
    <xdr:to>
      <xdr:col>13</xdr:col>
      <xdr:colOff>514350</xdr:colOff>
      <xdr:row>25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B01EF-7A7B-4421-A282-6CAE69270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39913</xdr:colOff>
      <xdr:row>1</xdr:row>
      <xdr:rowOff>142422</xdr:rowOff>
    </xdr:from>
    <xdr:to>
      <xdr:col>11</xdr:col>
      <xdr:colOff>354238</xdr:colOff>
      <xdr:row>17</xdr:row>
      <xdr:rowOff>63954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DED40-E4D6-4FED-9933-86D8098B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53" y="447222"/>
          <a:ext cx="6600825" cy="313717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75174</xdr:colOff>
      <xdr:row>5</xdr:row>
      <xdr:rowOff>72829</xdr:rowOff>
    </xdr:from>
    <xdr:to>
      <xdr:col>21</xdr:col>
      <xdr:colOff>196069</xdr:colOff>
      <xdr:row>18</xdr:row>
      <xdr:rowOff>109758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83D90-1368-4C75-9750-D229D6903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182880</xdr:colOff>
      <xdr:row>20</xdr:row>
      <xdr:rowOff>38100</xdr:rowOff>
    </xdr:from>
    <xdr:to>
      <xdr:col>20</xdr:col>
      <xdr:colOff>579630</xdr:colOff>
      <xdr:row>42</xdr:row>
      <xdr:rowOff>137520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220D7-70AF-8DD9-C54D-BC9C4976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8480" y="3749040"/>
          <a:ext cx="5883150" cy="4153260"/>
        </a:xfrm>
        <a:prstGeom prst="rect">
          <a:avLst/>
        </a:prstGeom>
        <a:ln w="28575">
          <a:solidFill>
            <a:srgbClr val="C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571E9D-90D7-4BBE-A093-A97CAD6B7022}" name="Table10" displayName="Table10" ref="A1:E26" totalsRowShown="0">
  <autoFilter ref="A1:E26" xr:uid="{32571E9D-90D7-4BBE-A093-A97CAD6B7022}"/>
  <tableColumns count="5">
    <tableColumn id="1" xr3:uid="{4DF3B165-221C-4BD9-A096-CC128ECDE1B4}" name="Month" dataDxfId="45"/>
    <tableColumn id="2" xr3:uid="{DAA7E895-667B-4DCD-9702-F327175EDEEC}" name="Sales"/>
    <tableColumn id="3" xr3:uid="{42826E38-F3DF-478D-8F1D-92EBA2349902}" name="Forecast(Sales)">
      <calculatedColumnFormula>_xlfn.FORECAST.ETS(A2,$B$2:$B$17,$A$2:$A$17,1,1)</calculatedColumnFormula>
    </tableColumn>
    <tableColumn id="4" xr3:uid="{4B63942C-AC25-4883-8BF9-7094C285F464}" name="Lower Confidence Bound(Sales)" dataDxfId="44">
      <calculatedColumnFormula>C2-_xlfn.FORECAST.ETS.CONFINT(A2,$B$2:$B$17,$A$2:$A$17,0.95,1,1)</calculatedColumnFormula>
    </tableColumn>
    <tableColumn id="5" xr3:uid="{62F58AD9-1FC9-46C8-B4E7-2231918EC1E4}" name="Upper Confidence Bound(Sales)" dataDxfId="43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6E5E14-5083-4C5A-89B7-749C9412A608}" name="Table11" displayName="Table11" ref="G1:H8" totalsRowShown="0">
  <autoFilter ref="G1:H8" xr:uid="{686E5E14-5083-4C5A-89B7-749C9412A608}"/>
  <tableColumns count="2">
    <tableColumn id="1" xr3:uid="{3A493A91-0A60-4C4D-BD13-741A12C8B244}" name="Statistic"/>
    <tableColumn id="2" xr3:uid="{E4BAACB9-6637-4486-ABF6-27B3AE1F8022}" name="Value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71328-598F-4AF9-A570-0C4BF0328BF5}" name="Table4" displayName="Table4" ref="A1:D26" totalsRowShown="0">
  <autoFilter ref="A1:D26" xr:uid="{E2171328-598F-4AF9-A570-0C4BF0328BF5}"/>
  <tableColumns count="4">
    <tableColumn id="1" xr3:uid="{5265A801-7A9B-4D1C-A965-DAFB00FCEA5B}" name="Month" dataDxfId="41"/>
    <tableColumn id="2" xr3:uid="{67594A27-DA04-4FA6-B749-64F558278EF3}" name="Sales"/>
    <tableColumn id="3" xr3:uid="{F712BD8F-11A6-422F-8B97-C5F6CC542257}" name="Forecast(Sales)">
      <calculatedColumnFormula>_xlfn.FORECAST.ETS(A2,$B$2:$B$17,$A$2:$A$17,1,1)</calculatedColumnFormula>
    </tableColumn>
    <tableColumn id="4" xr3:uid="{275B221A-0808-4ACB-ACBC-9908F3931D15}" name="Confidence Interval(Sales)">
      <calculatedColumnFormula>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AD9CB9-98BD-4095-8ACC-42C8BFECADCF}" name="Table5" displayName="Table5" ref="G1:H8" totalsRowShown="0">
  <autoFilter ref="G1:H8" xr:uid="{E2AD9CB9-98BD-4095-8ACC-42C8BFECADCF}"/>
  <tableColumns count="2">
    <tableColumn id="1" xr3:uid="{4207C0C1-6475-41A1-B1AB-5B54F7EB8EC4}" name="Statistic"/>
    <tableColumn id="2" xr3:uid="{0C3EE6FD-ED66-420C-BF08-9E497CA8F241}" name="Value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92B5F-1020-4D03-9587-68CA729E3E46}" name="Table1" displayName="Table1" ref="A1:J151" totalsRowShown="0" tableBorderDxfId="39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D73B049B-5822-4F37-B26E-760BB10495F5}" name="Serial" dataDxfId="38"/>
    <tableColumn id="2" xr3:uid="{D910A9B9-D427-48EA-AB9E-200D7BB66C1E}" name="sepal_length" dataDxfId="37"/>
    <tableColumn id="3" xr3:uid="{039CAD4E-A07E-4F03-9810-EAAE56003B4E}" name="sepal_width" dataDxfId="36"/>
    <tableColumn id="4" xr3:uid="{312E3EBE-2568-4DC8-AE77-AC20D8199BC2}" name="petal_length" dataDxfId="35"/>
    <tableColumn id="5" xr3:uid="{3B818CF0-A6EC-4507-82CE-B4C0F12048CA}" name="petal_width" dataDxfId="34"/>
    <tableColumn id="6" xr3:uid="{9CB5291D-0B1B-49D9-B4D6-537AD2F558ED}" name="species" dataDxfId="33"/>
    <tableColumn id="7" xr3:uid="{BF7FDB39-9FB3-4F09-A7F3-11EB71B3910A}" name="Euclidean_x000a_Distance" dataDxfId="32">
      <calculatedColumnFormula>SQRT((Table1[[#This Row],[sepal_length]]-$L$4)^2+(Table1[[#This Row],[sepal_width]]-$M$4)^2+(Table1[[#This Row],[petal_length]]-$N$4)^2+(Table1[[#This Row],[petal_width]]-$O$4)^2)</calculatedColumnFormula>
    </tableColumn>
    <tableColumn id="8" xr3:uid="{1C636255-9786-4C26-872C-3AE6549828D6}" name="Rank" dataDxfId="31">
      <calculatedColumnFormula>RANK(Table1[[#This Row],[Euclidean
Distance]],Table1[Euclidean
Distance],1)</calculatedColumnFormula>
    </tableColumn>
    <tableColumn id="9" xr3:uid="{BA65F439-C13B-4C8C-909A-06FC767773EA}" name="Manhattan_x000a_Distance" dataDxfId="30">
      <calculatedColumnFormula>ABS(Table1[[#This Row],[sepal_length]]-$L$4)+ABS(Table1[[#This Row],[sepal_width]]-$M$4)+ABS(Table1[[#This Row],[petal_length]]-$N$4)+ABS(Table1[[#This Row],[petal_width]]-$O$4)</calculatedColumnFormula>
    </tableColumn>
    <tableColumn id="10" xr3:uid="{F0A0E666-027F-4F02-97C9-425A7307EAAE}" name="Rank2" dataDxfId="29">
      <calculatedColumnFormula>RANK(Table1[[#This Row],[Manhattan
Distance]],Table1[Manhattan
Distance],1)</calculatedColumnFormula>
    </tableColumn>
  </tableColumns>
  <tableStyleInfo name="TableStyleMedium6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7292F-1009-4E5F-BA21-AC93ED5FB037}" name="Table14" displayName="Table14" ref="A1:J151" totalsRowShown="0" tableBorderDxfId="28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F6DF16D2-03AA-4E7F-9673-44A0A4C35B1C}" name="Serial" dataDxfId="27"/>
    <tableColumn id="2" xr3:uid="{A75179BD-7A57-4CAB-8BD0-BC07EBD90770}" name="sepal_length" dataDxfId="26"/>
    <tableColumn id="3" xr3:uid="{454D6FF2-D615-4F5D-B99E-C0409BA822D1}" name="sepal_width" dataDxfId="25"/>
    <tableColumn id="4" xr3:uid="{1C52C729-9E7A-4A1E-A720-BA60A2211EE2}" name="petal_length" dataDxfId="24"/>
    <tableColumn id="5" xr3:uid="{F2420024-0AFA-4949-83BD-9A17B7B9A955}" name="petal_width" dataDxfId="23"/>
    <tableColumn id="6" xr3:uid="{4D8A186D-14A0-4FA1-BC1E-C6BDE3530FC7}" name="species" dataDxfId="22"/>
    <tableColumn id="7" xr3:uid="{016AB6AE-A903-4DCC-ACFF-00A7D3E8B0FB}" name="Euclidean_x000a_Distance" dataDxfId="21"/>
    <tableColumn id="8" xr3:uid="{51B3085D-0C53-4B37-AB90-C08C6402F3ED}" name="Rank" dataDxfId="20"/>
    <tableColumn id="9" xr3:uid="{CC0342BF-290F-4B65-83F2-36DE7E759A31}" name="Manhattan_x000a_Distance" dataDxfId="19"/>
    <tableColumn id="10" xr3:uid="{033147C6-EEFE-4D19-8C98-ECC35D33375D}" name="Rank2" dataDxfId="18"/>
  </tableColumns>
  <tableStyleInfo name="TableStyleMedium6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1F820-565C-459C-9B81-90C3054550D6}" name="Table13" displayName="Table13" ref="M3:S9" headerRowDxfId="17" totalsRowDxfId="14" headerRowBorderDxfId="16" tableBorderDxfId="15">
  <tableColumns count="7">
    <tableColumn id="1" xr3:uid="{27E9F5C9-0D3F-46E4-908D-15F1673D4826}" name="Distance" totalsRowLabel="Total" dataDxfId="13"/>
    <tableColumn id="2" xr3:uid="{972BA92F-997F-4E19-B0CF-4328F9D6CB72}" name="BA" dataDxfId="12"/>
    <tableColumn id="3" xr3:uid="{53FBB5C6-08DB-4CA1-90AA-CC856F1075E9}" name="FI" dataDxfId="11"/>
    <tableColumn id="4" xr3:uid="{7C7DEC26-6BB1-45C5-972A-CAE95A8CD19D}" name="MI" dataDxfId="10"/>
    <tableColumn id="5" xr3:uid="{88E30472-FBE0-46BB-9074-9881AD323715}" name="NA" dataDxfId="9"/>
    <tableColumn id="6" xr3:uid="{B80765EA-F69C-4A48-9D3A-1BBE1563A6DE}" name="RM" dataDxfId="8"/>
    <tableColumn id="7" xr3:uid="{BFB6640A-C3E5-427D-8F35-B3D3532CE630}" name="TO" totalsRowFunction="sum" dataDxfId="7"/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19C-683D-4D14-8F12-C154082BF79E}">
  <dimension ref="A1:B25"/>
  <sheetViews>
    <sheetView workbookViewId="0"/>
  </sheetViews>
  <sheetFormatPr defaultRowHeight="14.4"/>
  <cols>
    <col min="1" max="1" width="11.88671875" customWidth="1"/>
    <col min="2" max="2" width="11" customWidth="1"/>
  </cols>
  <sheetData>
    <row r="1" spans="1:2">
      <c r="A1" s="287" t="s">
        <v>207</v>
      </c>
      <c r="B1" s="287" t="s">
        <v>208</v>
      </c>
    </row>
    <row r="2" spans="1:2">
      <c r="A2" s="282">
        <v>45292</v>
      </c>
      <c r="B2">
        <v>1340</v>
      </c>
    </row>
    <row r="3" spans="1:2">
      <c r="A3" s="282">
        <v>45323</v>
      </c>
      <c r="B3">
        <v>1435</v>
      </c>
    </row>
    <row r="4" spans="1:2">
      <c r="A4" s="282">
        <v>45352</v>
      </c>
      <c r="B4">
        <v>1610</v>
      </c>
    </row>
    <row r="5" spans="1:2">
      <c r="A5" s="282">
        <v>45383</v>
      </c>
      <c r="B5">
        <v>1665</v>
      </c>
    </row>
    <row r="6" spans="1:2">
      <c r="A6" s="282">
        <v>45413</v>
      </c>
      <c r="B6">
        <v>1620</v>
      </c>
    </row>
    <row r="7" spans="1:2">
      <c r="A7" s="282">
        <v>45444</v>
      </c>
      <c r="B7">
        <v>1625</v>
      </c>
    </row>
    <row r="8" spans="1:2">
      <c r="A8" s="282">
        <v>45474</v>
      </c>
      <c r="B8">
        <v>1640</v>
      </c>
    </row>
    <row r="9" spans="1:2">
      <c r="A9" s="282">
        <v>45505</v>
      </c>
      <c r="B9">
        <v>1715</v>
      </c>
    </row>
    <row r="10" spans="1:2">
      <c r="A10" s="282">
        <v>45536</v>
      </c>
      <c r="B10">
        <v>1850</v>
      </c>
    </row>
    <row r="11" spans="1:2">
      <c r="A11" s="282">
        <v>45566</v>
      </c>
      <c r="B11">
        <v>1865</v>
      </c>
    </row>
    <row r="12" spans="1:2">
      <c r="A12" s="282">
        <v>45597</v>
      </c>
      <c r="B12">
        <v>1810</v>
      </c>
    </row>
    <row r="13" spans="1:2">
      <c r="A13" s="282">
        <v>45627</v>
      </c>
      <c r="B13">
        <v>1905</v>
      </c>
    </row>
    <row r="14" spans="1:2">
      <c r="A14" s="282">
        <v>45658</v>
      </c>
      <c r="B14">
        <v>1450</v>
      </c>
    </row>
    <row r="15" spans="1:2">
      <c r="A15" s="282">
        <v>45689</v>
      </c>
      <c r="B15">
        <v>1540</v>
      </c>
    </row>
    <row r="16" spans="1:2">
      <c r="A16" s="282">
        <v>45717</v>
      </c>
      <c r="B16">
        <v>1735</v>
      </c>
    </row>
    <row r="17" spans="1:2">
      <c r="A17" s="282">
        <v>45748</v>
      </c>
      <c r="B17">
        <v>1790</v>
      </c>
    </row>
    <row r="18" spans="1:2">
      <c r="A18" s="282">
        <v>45778</v>
      </c>
    </row>
    <row r="19" spans="1:2">
      <c r="A19" s="282">
        <v>45809</v>
      </c>
    </row>
    <row r="20" spans="1:2">
      <c r="A20" s="282">
        <v>45839</v>
      </c>
    </row>
    <row r="21" spans="1:2">
      <c r="A21" s="282">
        <v>45870</v>
      </c>
    </row>
    <row r="22" spans="1:2">
      <c r="A22" s="282">
        <v>45901</v>
      </c>
    </row>
    <row r="23" spans="1:2">
      <c r="A23" s="282">
        <v>45931</v>
      </c>
    </row>
    <row r="24" spans="1:2">
      <c r="A24" s="282">
        <v>45962</v>
      </c>
    </row>
    <row r="25" spans="1:2">
      <c r="A25" s="28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419-DFBE-486A-95CE-5D823366DDED}">
  <dimension ref="A1:H26"/>
  <sheetViews>
    <sheetView workbookViewId="0"/>
  </sheetViews>
  <sheetFormatPr defaultRowHeight="14.4"/>
  <cols>
    <col min="3" max="3" width="16" customWidth="1"/>
    <col min="4" max="4" width="29" customWidth="1"/>
    <col min="5" max="5" width="29.21875" customWidth="1"/>
    <col min="7" max="7" width="10" customWidth="1"/>
    <col min="8" max="8" width="7.5546875" customWidth="1"/>
  </cols>
  <sheetData>
    <row r="1" spans="1:8">
      <c r="A1" t="s">
        <v>207</v>
      </c>
      <c r="B1" t="s">
        <v>208</v>
      </c>
      <c r="C1" t="s">
        <v>209</v>
      </c>
      <c r="D1" t="s">
        <v>225</v>
      </c>
      <c r="E1" t="s">
        <v>226</v>
      </c>
      <c r="G1" t="s">
        <v>211</v>
      </c>
      <c r="H1" t="s">
        <v>212</v>
      </c>
    </row>
    <row r="2" spans="1:8">
      <c r="A2" s="282">
        <v>45292</v>
      </c>
      <c r="B2">
        <v>1340</v>
      </c>
      <c r="G2" t="s">
        <v>213</v>
      </c>
      <c r="H2" s="283">
        <f>_xlfn.FORECAST.ETS.STAT($B$2:$B$17,$A$2:$A$17,1,1,1)</f>
        <v>0.25</v>
      </c>
    </row>
    <row r="3" spans="1:8">
      <c r="A3" s="282">
        <v>45323</v>
      </c>
      <c r="B3">
        <v>1435</v>
      </c>
      <c r="G3" t="s">
        <v>214</v>
      </c>
      <c r="H3" s="283">
        <f>_xlfn.FORECAST.ETS.STAT($B$2:$B$17,$A$2:$A$17,2,1,1)</f>
        <v>1E-3</v>
      </c>
    </row>
    <row r="4" spans="1:8">
      <c r="A4" s="282">
        <v>45352</v>
      </c>
      <c r="B4">
        <v>1610</v>
      </c>
      <c r="G4" t="s">
        <v>215</v>
      </c>
      <c r="H4" s="283">
        <f>_xlfn.FORECAST.ETS.STAT($B$2:$B$17,$A$2:$A$17,3,1,1)</f>
        <v>2.2204460492503131E-16</v>
      </c>
    </row>
    <row r="5" spans="1:8">
      <c r="A5" s="282">
        <v>45383</v>
      </c>
      <c r="B5">
        <v>1665</v>
      </c>
      <c r="G5" t="s">
        <v>216</v>
      </c>
      <c r="H5" s="283">
        <f>_xlfn.FORECAST.ETS.STAT($B$2:$B$17,$A$2:$A$17,4,1,1)</f>
        <v>1.9497085561272305</v>
      </c>
    </row>
    <row r="6" spans="1:8">
      <c r="A6" s="282">
        <v>45413</v>
      </c>
      <c r="B6">
        <v>1620</v>
      </c>
      <c r="G6" t="s">
        <v>217</v>
      </c>
      <c r="H6" s="283">
        <f>_xlfn.FORECAST.ETS.STAT($B$2:$B$17,$A$2:$A$17,5,1,1)</f>
        <v>7.9061900774040336E-2</v>
      </c>
    </row>
    <row r="7" spans="1:8">
      <c r="A7" s="282">
        <v>45444</v>
      </c>
      <c r="B7">
        <v>1625</v>
      </c>
      <c r="G7" t="s">
        <v>218</v>
      </c>
      <c r="H7" s="283">
        <f>_xlfn.FORECAST.ETS.STAT($B$2:$B$17,$A$2:$A$17,6,1,1)</f>
        <v>133.23008466869408</v>
      </c>
    </row>
    <row r="8" spans="1:8">
      <c r="A8" s="282">
        <v>45474</v>
      </c>
      <c r="B8">
        <v>1640</v>
      </c>
      <c r="G8" t="s">
        <v>219</v>
      </c>
      <c r="H8" s="283">
        <f>_xlfn.FORECAST.ETS.STAT($B$2:$B$17,$A$2:$A$17,7,1,1)</f>
        <v>193.65383031527566</v>
      </c>
    </row>
    <row r="9" spans="1:8">
      <c r="A9" s="282">
        <v>45505</v>
      </c>
      <c r="B9">
        <v>1715</v>
      </c>
    </row>
    <row r="10" spans="1:8">
      <c r="A10" s="282">
        <v>45536</v>
      </c>
      <c r="B10">
        <v>1850</v>
      </c>
    </row>
    <row r="11" spans="1:8">
      <c r="A11" s="282">
        <v>45566</v>
      </c>
      <c r="B11">
        <v>1865</v>
      </c>
    </row>
    <row r="12" spans="1:8">
      <c r="A12" s="282">
        <v>45597</v>
      </c>
      <c r="B12">
        <v>1810</v>
      </c>
    </row>
    <row r="13" spans="1:8">
      <c r="A13" s="282">
        <v>45627</v>
      </c>
      <c r="B13">
        <v>1905</v>
      </c>
    </row>
    <row r="14" spans="1:8">
      <c r="A14" s="282">
        <v>45658</v>
      </c>
      <c r="B14">
        <v>1450</v>
      </c>
    </row>
    <row r="15" spans="1:8">
      <c r="A15" s="282">
        <v>45689</v>
      </c>
      <c r="B15">
        <v>1540</v>
      </c>
    </row>
    <row r="16" spans="1:8">
      <c r="A16" s="282">
        <v>45717</v>
      </c>
      <c r="B16">
        <v>1735</v>
      </c>
    </row>
    <row r="17" spans="1:5">
      <c r="A17" s="282">
        <v>45748</v>
      </c>
      <c r="B17">
        <v>1790</v>
      </c>
      <c r="C17">
        <v>1790</v>
      </c>
      <c r="D17" s="286">
        <v>1790</v>
      </c>
      <c r="E17" s="286">
        <v>1790</v>
      </c>
    </row>
    <row r="18" spans="1:5">
      <c r="A18" s="282">
        <v>45778</v>
      </c>
      <c r="C18">
        <f t="shared" ref="C18:C26" si="0">_xlfn.FORECAST.ETS(A18,$B$2:$B$17,$A$2:$A$17,1,1)</f>
        <v>1776.656176214482</v>
      </c>
      <c r="D18" s="286">
        <f t="shared" ref="D18:D26" si="1">C18-_xlfn.FORECAST.ETS.CONFINT(A18,$B$2:$B$17,$A$2:$A$17,0.95,1,1)</f>
        <v>1472.0054534267915</v>
      </c>
      <c r="E18" s="286">
        <f t="shared" ref="E18:E26" si="2">C18+_xlfn.FORECAST.ETS.CONFINT(A18,$B$2:$B$17,$A$2:$A$17,0.95,1,1)</f>
        <v>2081.3068990021725</v>
      </c>
    </row>
    <row r="19" spans="1:5">
      <c r="A19" s="282">
        <v>45809</v>
      </c>
      <c r="C19">
        <f t="shared" si="0"/>
        <v>1794.4318639930925</v>
      </c>
      <c r="D19" s="286">
        <f t="shared" si="1"/>
        <v>1480.331059044245</v>
      </c>
      <c r="E19" s="286">
        <f t="shared" si="2"/>
        <v>2108.5326689419398</v>
      </c>
    </row>
    <row r="20" spans="1:5">
      <c r="A20" s="282">
        <v>45839</v>
      </c>
      <c r="C20">
        <f t="shared" si="0"/>
        <v>1812.2075517717033</v>
      </c>
      <c r="D20" s="286">
        <f t="shared" si="1"/>
        <v>1488.8605973843114</v>
      </c>
      <c r="E20" s="286">
        <f t="shared" si="2"/>
        <v>2135.5545061590951</v>
      </c>
    </row>
    <row r="21" spans="1:5">
      <c r="A21" s="282">
        <v>45870</v>
      </c>
      <c r="C21">
        <f t="shared" si="0"/>
        <v>1829.9832395503138</v>
      </c>
      <c r="D21" s="286">
        <f t="shared" si="1"/>
        <v>1497.5767711333287</v>
      </c>
      <c r="E21" s="286">
        <f t="shared" si="2"/>
        <v>2162.3897079672988</v>
      </c>
    </row>
    <row r="22" spans="1:5">
      <c r="A22" s="282">
        <v>45901</v>
      </c>
      <c r="C22">
        <f t="shared" si="0"/>
        <v>1847.7589273289245</v>
      </c>
      <c r="D22" s="286">
        <f t="shared" si="1"/>
        <v>1506.4644455464177</v>
      </c>
      <c r="E22" s="286">
        <f t="shared" si="2"/>
        <v>2189.0534091114314</v>
      </c>
    </row>
    <row r="23" spans="1:5">
      <c r="A23" s="282">
        <v>45931</v>
      </c>
      <c r="C23">
        <f t="shared" si="0"/>
        <v>1865.5346151075353</v>
      </c>
      <c r="D23" s="286">
        <f t="shared" si="1"/>
        <v>1515.5102906885868</v>
      </c>
      <c r="E23" s="286">
        <f t="shared" si="2"/>
        <v>2215.5589395264838</v>
      </c>
    </row>
    <row r="24" spans="1:5">
      <c r="A24" s="282">
        <v>45962</v>
      </c>
      <c r="C24">
        <f t="shared" si="0"/>
        <v>1883.3103028861458</v>
      </c>
      <c r="D24" s="286">
        <f t="shared" si="1"/>
        <v>1524.7024961685115</v>
      </c>
      <c r="E24" s="286">
        <f t="shared" si="2"/>
        <v>2241.9181096037801</v>
      </c>
    </row>
    <row r="25" spans="1:5">
      <c r="A25" s="282">
        <v>45992</v>
      </c>
      <c r="C25">
        <f t="shared" si="0"/>
        <v>1901.0859906647565</v>
      </c>
      <c r="D25" s="286">
        <f t="shared" si="1"/>
        <v>1534.0305412010712</v>
      </c>
      <c r="E25" s="286">
        <f t="shared" si="2"/>
        <v>2268.1414401284419</v>
      </c>
    </row>
    <row r="26" spans="1:5">
      <c r="A26" s="282">
        <v>46022</v>
      </c>
      <c r="C26">
        <f t="shared" si="0"/>
        <v>1918.288269160186</v>
      </c>
      <c r="D26" s="286">
        <f t="shared" si="1"/>
        <v>1543.1771433868537</v>
      </c>
      <c r="E26" s="286">
        <f t="shared" si="2"/>
        <v>2293.3993949335181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290E-80D1-46DC-8CF6-BF4CAFFF6CD6}">
  <dimension ref="A1:O40"/>
  <sheetViews>
    <sheetView workbookViewId="0"/>
  </sheetViews>
  <sheetFormatPr defaultRowHeight="14.4"/>
  <cols>
    <col min="3" max="3" width="16" customWidth="1"/>
    <col min="4" max="4" width="24.88671875" customWidth="1"/>
    <col min="7" max="7" width="10.33203125" bestFit="1" customWidth="1"/>
    <col min="8" max="8" width="7.88671875" bestFit="1" customWidth="1"/>
  </cols>
  <sheetData>
    <row r="1" spans="1:8">
      <c r="A1" t="s">
        <v>207</v>
      </c>
      <c r="B1" t="s">
        <v>208</v>
      </c>
      <c r="C1" t="s">
        <v>209</v>
      </c>
      <c r="D1" t="s">
        <v>210</v>
      </c>
      <c r="G1" t="s">
        <v>211</v>
      </c>
      <c r="H1" t="s">
        <v>212</v>
      </c>
    </row>
    <row r="2" spans="1:8">
      <c r="A2" s="282">
        <v>45292</v>
      </c>
      <c r="B2">
        <v>1340</v>
      </c>
      <c r="G2" t="s">
        <v>213</v>
      </c>
      <c r="H2" s="283">
        <f>_xlfn.FORECAST.ETS.STAT($B$2:$B$17,$A$2:$A$17,1,1,1)</f>
        <v>0.25</v>
      </c>
    </row>
    <row r="3" spans="1:8">
      <c r="A3" s="282">
        <v>45323</v>
      </c>
      <c r="B3">
        <v>1435</v>
      </c>
      <c r="G3" t="s">
        <v>214</v>
      </c>
      <c r="H3" s="283">
        <f>_xlfn.FORECAST.ETS.STAT($B$2:$B$17,$A$2:$A$17,2,1,1)</f>
        <v>1E-3</v>
      </c>
    </row>
    <row r="4" spans="1:8">
      <c r="A4" s="282">
        <v>45352</v>
      </c>
      <c r="B4">
        <v>1610</v>
      </c>
      <c r="G4" t="s">
        <v>215</v>
      </c>
      <c r="H4" s="283">
        <f>_xlfn.FORECAST.ETS.STAT($B$2:$B$17,$A$2:$A$17,3,1,1)</f>
        <v>2.2204460492503131E-16</v>
      </c>
    </row>
    <row r="5" spans="1:8">
      <c r="A5" s="282">
        <v>45383</v>
      </c>
      <c r="B5">
        <v>1665</v>
      </c>
      <c r="G5" t="s">
        <v>216</v>
      </c>
      <c r="H5" s="283">
        <f>_xlfn.FORECAST.ETS.STAT($B$2:$B$17,$A$2:$A$17,4,1,1)</f>
        <v>1.9497085561272305</v>
      </c>
    </row>
    <row r="6" spans="1:8">
      <c r="A6" s="282">
        <v>45413</v>
      </c>
      <c r="B6">
        <v>1620</v>
      </c>
      <c r="G6" t="s">
        <v>217</v>
      </c>
      <c r="H6" s="283">
        <f>_xlfn.FORECAST.ETS.STAT($B$2:$B$17,$A$2:$A$17,5,1,1)</f>
        <v>7.9061900774040336E-2</v>
      </c>
    </row>
    <row r="7" spans="1:8">
      <c r="A7" s="282">
        <v>45444</v>
      </c>
      <c r="B7">
        <v>1625</v>
      </c>
      <c r="G7" t="s">
        <v>218</v>
      </c>
      <c r="H7" s="283">
        <f>_xlfn.FORECAST.ETS.STAT($B$2:$B$17,$A$2:$A$17,6,1,1)</f>
        <v>133.23008466869408</v>
      </c>
    </row>
    <row r="8" spans="1:8">
      <c r="A8" s="282">
        <v>45474</v>
      </c>
      <c r="B8">
        <v>1640</v>
      </c>
      <c r="G8" t="s">
        <v>219</v>
      </c>
      <c r="H8" s="283">
        <f>_xlfn.FORECAST.ETS.STAT($B$2:$B$17,$A$2:$A$17,7,1,1)</f>
        <v>193.65383031527566</v>
      </c>
    </row>
    <row r="9" spans="1:8">
      <c r="A9" s="282">
        <v>45505</v>
      </c>
      <c r="B9">
        <v>1715</v>
      </c>
    </row>
    <row r="10" spans="1:8">
      <c r="A10" s="282">
        <v>45536</v>
      </c>
      <c r="B10">
        <v>1850</v>
      </c>
    </row>
    <row r="11" spans="1:8">
      <c r="A11" s="282">
        <v>45566</v>
      </c>
      <c r="B11">
        <v>1865</v>
      </c>
    </row>
    <row r="12" spans="1:8">
      <c r="A12" s="282">
        <v>45597</v>
      </c>
      <c r="B12">
        <v>1810</v>
      </c>
    </row>
    <row r="13" spans="1:8">
      <c r="A13" s="282">
        <v>45627</v>
      </c>
      <c r="B13">
        <v>1905</v>
      </c>
    </row>
    <row r="14" spans="1:8">
      <c r="A14" s="282">
        <v>45658</v>
      </c>
      <c r="B14">
        <v>1450</v>
      </c>
    </row>
    <row r="15" spans="1:8">
      <c r="A15" s="282">
        <v>45689</v>
      </c>
      <c r="B15">
        <v>1540</v>
      </c>
    </row>
    <row r="16" spans="1:8">
      <c r="A16" s="282">
        <v>45717</v>
      </c>
      <c r="B16">
        <v>1735</v>
      </c>
    </row>
    <row r="17" spans="1:15">
      <c r="A17" s="282">
        <v>45748</v>
      </c>
      <c r="B17">
        <v>1790</v>
      </c>
    </row>
    <row r="18" spans="1:15">
      <c r="A18" s="282">
        <v>45778</v>
      </c>
      <c r="C18">
        <f t="shared" ref="C18:C26" si="0">_xlfn.FORECAST.ETS(A18,$B$2:$B$17,$A$2:$A$17,1,1)</f>
        <v>1776.656176214482</v>
      </c>
      <c r="D18">
        <f t="shared" ref="D18:D26" si="1">_xlfn.FORECAST.ETS.CONFINT(A18,$B$2:$B$17,$A$2:$A$17,0.95,1,1)</f>
        <v>304.65072278769037</v>
      </c>
    </row>
    <row r="19" spans="1:15">
      <c r="A19" s="282">
        <v>45809</v>
      </c>
      <c r="C19">
        <f t="shared" si="0"/>
        <v>1794.4318639930925</v>
      </c>
      <c r="D19">
        <f t="shared" si="1"/>
        <v>314.1008049488475</v>
      </c>
    </row>
    <row r="20" spans="1:15">
      <c r="A20" s="282">
        <v>45839</v>
      </c>
      <c r="C20">
        <f t="shared" si="0"/>
        <v>1812.2075517717033</v>
      </c>
      <c r="D20">
        <f t="shared" si="1"/>
        <v>323.34695438739175</v>
      </c>
    </row>
    <row r="21" spans="1:15">
      <c r="A21" s="282">
        <v>45870</v>
      </c>
      <c r="C21">
        <f t="shared" si="0"/>
        <v>1829.9832395503138</v>
      </c>
      <c r="D21">
        <f t="shared" si="1"/>
        <v>332.40646841698498</v>
      </c>
    </row>
    <row r="22" spans="1:15">
      <c r="A22" s="282">
        <v>45901</v>
      </c>
      <c r="C22">
        <f t="shared" si="0"/>
        <v>1847.7589273289245</v>
      </c>
      <c r="D22">
        <f t="shared" si="1"/>
        <v>341.29448178250681</v>
      </c>
    </row>
    <row r="23" spans="1:15">
      <c r="A23" s="282">
        <v>45931</v>
      </c>
      <c r="C23">
        <f t="shared" si="0"/>
        <v>1865.5346151075353</v>
      </c>
      <c r="D23">
        <f t="shared" si="1"/>
        <v>350.02432441894848</v>
      </c>
    </row>
    <row r="24" spans="1:15">
      <c r="A24" s="282">
        <v>45962</v>
      </c>
      <c r="C24">
        <f t="shared" si="0"/>
        <v>1883.3103028861458</v>
      </c>
      <c r="D24">
        <f t="shared" si="1"/>
        <v>358.60780671763422</v>
      </c>
    </row>
    <row r="25" spans="1:15">
      <c r="A25" s="282">
        <v>45992</v>
      </c>
      <c r="C25">
        <f t="shared" si="0"/>
        <v>1901.0859906647565</v>
      </c>
      <c r="D25">
        <f t="shared" si="1"/>
        <v>367.05544946368531</v>
      </c>
    </row>
    <row r="26" spans="1:15">
      <c r="A26" s="282">
        <v>46022</v>
      </c>
      <c r="C26">
        <f t="shared" si="0"/>
        <v>1918.288269160186</v>
      </c>
      <c r="D26">
        <f t="shared" si="1"/>
        <v>375.11112577333228</v>
      </c>
    </row>
    <row r="30" spans="1:15" ht="14.4" customHeight="1">
      <c r="B30" s="294" t="s">
        <v>220</v>
      </c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85"/>
      <c r="N30" s="285"/>
      <c r="O30" s="285"/>
    </row>
    <row r="31" spans="1:15"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85"/>
      <c r="N31" s="285"/>
      <c r="O31" s="285"/>
    </row>
    <row r="33" spans="2:12" ht="18">
      <c r="B33" s="284" t="s">
        <v>221</v>
      </c>
    </row>
    <row r="34" spans="2:12">
      <c r="B34" s="296" t="s">
        <v>222</v>
      </c>
      <c r="C34" s="296"/>
      <c r="D34" s="296"/>
      <c r="E34" s="296"/>
      <c r="F34" s="296"/>
      <c r="G34" s="296"/>
      <c r="H34" s="296"/>
      <c r="I34" s="296"/>
      <c r="J34" s="296"/>
      <c r="K34" s="296"/>
    </row>
    <row r="36" spans="2:12">
      <c r="B36" s="295" t="s">
        <v>223</v>
      </c>
      <c r="C36" s="295"/>
      <c r="D36" s="295"/>
      <c r="E36" s="295"/>
      <c r="F36" s="295"/>
      <c r="G36" s="295"/>
      <c r="H36" s="295"/>
      <c r="I36" s="295"/>
      <c r="J36" s="295"/>
      <c r="K36" s="295"/>
      <c r="L36" s="295"/>
    </row>
    <row r="37" spans="2:12"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</row>
    <row r="39" spans="2:12">
      <c r="B39" s="295" t="s">
        <v>224</v>
      </c>
      <c r="C39" s="295"/>
      <c r="D39" s="295"/>
      <c r="E39" s="295"/>
      <c r="F39" s="295"/>
      <c r="G39" s="295"/>
      <c r="H39" s="295"/>
      <c r="I39" s="295"/>
      <c r="J39" s="295"/>
      <c r="K39" s="295"/>
    </row>
    <row r="40" spans="2:12">
      <c r="B40" s="295"/>
      <c r="C40" s="295"/>
      <c r="D40" s="295"/>
      <c r="E40" s="295"/>
      <c r="F40" s="295"/>
      <c r="G40" s="295"/>
      <c r="H40" s="295"/>
      <c r="I40" s="295"/>
      <c r="J40" s="295"/>
      <c r="K40" s="295"/>
    </row>
  </sheetData>
  <mergeCells count="4">
    <mergeCell ref="B30:L31"/>
    <mergeCell ref="B36:L37"/>
    <mergeCell ref="B39:K40"/>
    <mergeCell ref="B34:K3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1F4-8C2C-4F47-9E0E-75F8B997C7D2}">
  <dimension ref="A3:H21"/>
  <sheetViews>
    <sheetView zoomScale="130" zoomScaleNormal="130" workbookViewId="0"/>
  </sheetViews>
  <sheetFormatPr defaultRowHeight="13.8"/>
  <cols>
    <col min="1" max="16384" width="8.88671875" style="56"/>
  </cols>
  <sheetData>
    <row r="3" spans="2:8">
      <c r="B3" s="243" t="s">
        <v>151</v>
      </c>
      <c r="C3" s="243" t="s">
        <v>183</v>
      </c>
      <c r="D3" s="243" t="s">
        <v>154</v>
      </c>
      <c r="E3" s="243" t="s">
        <v>184</v>
      </c>
      <c r="F3" s="243" t="s">
        <v>185</v>
      </c>
      <c r="G3" s="243" t="s">
        <v>186</v>
      </c>
    </row>
    <row r="4" spans="2:8">
      <c r="B4" s="244" t="s">
        <v>51</v>
      </c>
      <c r="C4" s="244">
        <v>6</v>
      </c>
      <c r="D4" s="244">
        <v>82</v>
      </c>
      <c r="E4" s="245">
        <f>C4*D4</f>
        <v>492</v>
      </c>
      <c r="F4" s="245">
        <f>C4^2</f>
        <v>36</v>
      </c>
      <c r="G4" s="245">
        <f>D4^2</f>
        <v>6724</v>
      </c>
    </row>
    <row r="5" spans="2:8">
      <c r="B5" s="244" t="s">
        <v>55</v>
      </c>
      <c r="C5" s="244">
        <v>2</v>
      </c>
      <c r="D5" s="244">
        <v>86</v>
      </c>
      <c r="E5" s="245">
        <f t="shared" ref="E5:E10" si="0">C5*D5</f>
        <v>172</v>
      </c>
      <c r="F5" s="245">
        <f t="shared" ref="F5:G10" si="1">C5^2</f>
        <v>4</v>
      </c>
      <c r="G5" s="245">
        <f t="shared" si="1"/>
        <v>7396</v>
      </c>
    </row>
    <row r="6" spans="2:8">
      <c r="B6" s="244" t="s">
        <v>159</v>
      </c>
      <c r="C6" s="244">
        <v>15</v>
      </c>
      <c r="D6" s="244">
        <v>43</v>
      </c>
      <c r="E6" s="245">
        <f t="shared" si="0"/>
        <v>645</v>
      </c>
      <c r="F6" s="245">
        <f t="shared" si="1"/>
        <v>225</v>
      </c>
      <c r="G6" s="245">
        <f t="shared" si="1"/>
        <v>1849</v>
      </c>
    </row>
    <row r="7" spans="2:8">
      <c r="B7" s="244" t="s">
        <v>161</v>
      </c>
      <c r="C7" s="244">
        <v>9</v>
      </c>
      <c r="D7" s="244">
        <v>74</v>
      </c>
      <c r="E7" s="245">
        <f t="shared" si="0"/>
        <v>666</v>
      </c>
      <c r="F7" s="245">
        <f t="shared" si="1"/>
        <v>81</v>
      </c>
      <c r="G7" s="245">
        <f t="shared" si="1"/>
        <v>5476</v>
      </c>
    </row>
    <row r="8" spans="2:8">
      <c r="B8" s="244" t="s">
        <v>163</v>
      </c>
      <c r="C8" s="244">
        <v>12</v>
      </c>
      <c r="D8" s="244">
        <v>58</v>
      </c>
      <c r="E8" s="245">
        <f t="shared" si="0"/>
        <v>696</v>
      </c>
      <c r="F8" s="245">
        <f t="shared" si="1"/>
        <v>144</v>
      </c>
      <c r="G8" s="245">
        <f t="shared" si="1"/>
        <v>3364</v>
      </c>
    </row>
    <row r="9" spans="2:8">
      <c r="B9" s="244" t="s">
        <v>171</v>
      </c>
      <c r="C9" s="244">
        <v>5</v>
      </c>
      <c r="D9" s="244">
        <v>90</v>
      </c>
      <c r="E9" s="245">
        <f t="shared" si="0"/>
        <v>450</v>
      </c>
      <c r="F9" s="245">
        <f t="shared" si="1"/>
        <v>25</v>
      </c>
      <c r="G9" s="245">
        <f t="shared" si="1"/>
        <v>8100</v>
      </c>
    </row>
    <row r="10" spans="2:8">
      <c r="B10" s="244" t="s">
        <v>187</v>
      </c>
      <c r="C10" s="244">
        <v>8</v>
      </c>
      <c r="D10" s="244">
        <v>78</v>
      </c>
      <c r="E10" s="245">
        <f t="shared" si="0"/>
        <v>624</v>
      </c>
      <c r="F10" s="245">
        <f t="shared" si="1"/>
        <v>64</v>
      </c>
      <c r="G10" s="245">
        <f t="shared" si="1"/>
        <v>6084</v>
      </c>
    </row>
    <row r="11" spans="2:8">
      <c r="C11" s="56">
        <f>SUM(C4:C10)</f>
        <v>57</v>
      </c>
      <c r="D11" s="56">
        <f t="shared" ref="D11:G11" si="2">SUM(D4:D10)</f>
        <v>511</v>
      </c>
      <c r="E11" s="56">
        <f t="shared" si="2"/>
        <v>3745</v>
      </c>
      <c r="F11" s="56">
        <f>SUM(F4:F10)</f>
        <v>579</v>
      </c>
      <c r="G11" s="56">
        <f t="shared" si="2"/>
        <v>38993</v>
      </c>
    </row>
    <row r="13" spans="2:8">
      <c r="B13" s="248" t="s">
        <v>188</v>
      </c>
      <c r="C13" s="56">
        <f>COUNTA(B4:B10)</f>
        <v>7</v>
      </c>
      <c r="E13" s="243" t="s">
        <v>151</v>
      </c>
      <c r="F13" s="243" t="s">
        <v>183</v>
      </c>
      <c r="G13" s="243" t="s">
        <v>155</v>
      </c>
      <c r="H13" s="243" t="s">
        <v>155</v>
      </c>
    </row>
    <row r="14" spans="2:8">
      <c r="B14" s="248" t="s">
        <v>189</v>
      </c>
      <c r="C14" s="56">
        <f>(C13*E11-C11*D11)/SQRT((C13*F11-C11^2)*(C13*G11-D11^2))</f>
        <v>-0.94421517068791783</v>
      </c>
      <c r="E14" s="244" t="s">
        <v>190</v>
      </c>
      <c r="F14" s="244">
        <v>7</v>
      </c>
      <c r="G14" s="245">
        <f>$C$17+$C$18*F14</f>
        <v>77.139303482587067</v>
      </c>
      <c r="H14" s="281">
        <f>_xlfn.FORECAST.LINEAR(F14,$D$4:$D$10,$C$4:$C$10)</f>
        <v>77.139303482587053</v>
      </c>
    </row>
    <row r="15" spans="2:8">
      <c r="B15" s="248" t="s">
        <v>189</v>
      </c>
      <c r="C15" s="56">
        <f>CORREL(C4:C10,D4:D10)</f>
        <v>-0.94421517068791805</v>
      </c>
      <c r="E15" s="244" t="s">
        <v>191</v>
      </c>
      <c r="F15" s="244">
        <v>10</v>
      </c>
      <c r="G15" s="245">
        <f t="shared" ref="G15:G16" si="3">$C$17+$C$18*F15</f>
        <v>66.273631840796014</v>
      </c>
      <c r="H15" s="281">
        <f t="shared" ref="H15:H16" si="4">_xlfn.FORECAST.LINEAR(F15,$D$4:$D$10,$C$4:$C$10)</f>
        <v>66.273631840796014</v>
      </c>
    </row>
    <row r="16" spans="2:8">
      <c r="B16" s="248" t="s">
        <v>189</v>
      </c>
      <c r="C16" s="56">
        <f>CORREL(D4:D10,C4:C10)</f>
        <v>-0.94421517068791805</v>
      </c>
      <c r="E16" s="244" t="s">
        <v>192</v>
      </c>
      <c r="F16" s="244">
        <v>11</v>
      </c>
      <c r="G16" s="245">
        <f t="shared" si="3"/>
        <v>62.651741293532339</v>
      </c>
      <c r="H16" s="281">
        <f t="shared" si="4"/>
        <v>62.651741293532332</v>
      </c>
    </row>
    <row r="17" spans="1:3">
      <c r="A17" s="56" t="s">
        <v>182</v>
      </c>
      <c r="B17" s="248" t="s">
        <v>193</v>
      </c>
      <c r="C17" s="56">
        <f>(D11*F11-C11*E11)/(C13*F11-C11^2)</f>
        <v>102.49253731343283</v>
      </c>
    </row>
    <row r="18" spans="1:3">
      <c r="A18" s="56" t="s">
        <v>198</v>
      </c>
      <c r="B18" s="248" t="s">
        <v>195</v>
      </c>
      <c r="C18" s="56">
        <f>(C13*E11-C11*D11)/(C13*F11-C11^2)</f>
        <v>-3.6218905472636815</v>
      </c>
    </row>
    <row r="19" spans="1:3">
      <c r="A19" s="56" t="s">
        <v>182</v>
      </c>
      <c r="B19" s="248" t="s">
        <v>193</v>
      </c>
      <c r="C19" s="56">
        <f>INTERCEPT(D4:D10,C4:C10)</f>
        <v>102.49253731343283</v>
      </c>
    </row>
    <row r="20" spans="1:3">
      <c r="A20" s="56" t="s">
        <v>198</v>
      </c>
      <c r="B20" s="248" t="s">
        <v>195</v>
      </c>
      <c r="C20" s="56">
        <f>SLOPE(D4:D10,C4:C10)</f>
        <v>-3.621890547263682</v>
      </c>
    </row>
    <row r="21" spans="1:3">
      <c r="B21" s="248" t="s">
        <v>197</v>
      </c>
      <c r="C21" s="56">
        <f>C14^2</f>
        <v>0.89154228855721385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24B3-47A2-4AAC-8A14-6857928F98B6}">
  <dimension ref="A3:G23"/>
  <sheetViews>
    <sheetView topLeftCell="A2" zoomScale="150" zoomScaleNormal="150" workbookViewId="0">
      <selection activeCell="M8" sqref="M8:M9"/>
    </sheetView>
  </sheetViews>
  <sheetFormatPr defaultRowHeight="13.8"/>
  <cols>
    <col min="1" max="16384" width="8.88671875" style="56"/>
  </cols>
  <sheetData>
    <row r="3" spans="1:7">
      <c r="B3" s="243" t="s">
        <v>151</v>
      </c>
      <c r="C3" s="243" t="s">
        <v>183</v>
      </c>
      <c r="D3" s="243" t="s">
        <v>154</v>
      </c>
      <c r="E3" s="243" t="s">
        <v>184</v>
      </c>
      <c r="F3" s="243" t="s">
        <v>185</v>
      </c>
      <c r="G3" s="243" t="s">
        <v>186</v>
      </c>
    </row>
    <row r="4" spans="1:7">
      <c r="B4" s="244" t="s">
        <v>51</v>
      </c>
      <c r="C4" s="244">
        <v>6</v>
      </c>
      <c r="D4" s="244">
        <v>82</v>
      </c>
      <c r="E4" s="245">
        <f>C4*D4</f>
        <v>492</v>
      </c>
      <c r="F4" s="245">
        <f>C4^2</f>
        <v>36</v>
      </c>
      <c r="G4" s="245">
        <f>D4^2</f>
        <v>6724</v>
      </c>
    </row>
    <row r="5" spans="1:7">
      <c r="B5" s="244" t="s">
        <v>55</v>
      </c>
      <c r="C5" s="244">
        <v>2</v>
      </c>
      <c r="D5" s="244">
        <v>86</v>
      </c>
      <c r="E5" s="245">
        <f t="shared" ref="E5:E10" si="0">C5*D5</f>
        <v>172</v>
      </c>
      <c r="F5" s="245">
        <f t="shared" ref="F5:F10" si="1">C5^2</f>
        <v>4</v>
      </c>
      <c r="G5" s="245">
        <f t="shared" ref="G5:G10" si="2">D5^2</f>
        <v>7396</v>
      </c>
    </row>
    <row r="6" spans="1:7">
      <c r="B6" s="244" t="s">
        <v>159</v>
      </c>
      <c r="C6" s="244">
        <v>15</v>
      </c>
      <c r="D6" s="244">
        <v>43</v>
      </c>
      <c r="E6" s="245">
        <f t="shared" si="0"/>
        <v>645</v>
      </c>
      <c r="F6" s="245">
        <f t="shared" si="1"/>
        <v>225</v>
      </c>
      <c r="G6" s="245">
        <f t="shared" si="2"/>
        <v>1849</v>
      </c>
    </row>
    <row r="7" spans="1:7">
      <c r="B7" s="244" t="s">
        <v>161</v>
      </c>
      <c r="C7" s="244">
        <v>9</v>
      </c>
      <c r="D7" s="244">
        <v>74</v>
      </c>
      <c r="E7" s="245">
        <f t="shared" si="0"/>
        <v>666</v>
      </c>
      <c r="F7" s="245">
        <f t="shared" si="1"/>
        <v>81</v>
      </c>
      <c r="G7" s="245">
        <f t="shared" si="2"/>
        <v>5476</v>
      </c>
    </row>
    <row r="8" spans="1:7">
      <c r="B8" s="244" t="s">
        <v>163</v>
      </c>
      <c r="C8" s="244">
        <v>12</v>
      </c>
      <c r="D8" s="244">
        <v>58</v>
      </c>
      <c r="E8" s="245">
        <f t="shared" si="0"/>
        <v>696</v>
      </c>
      <c r="F8" s="245">
        <f t="shared" si="1"/>
        <v>144</v>
      </c>
      <c r="G8" s="245">
        <f t="shared" si="2"/>
        <v>3364</v>
      </c>
    </row>
    <row r="9" spans="1:7">
      <c r="B9" s="244" t="s">
        <v>171</v>
      </c>
      <c r="C9" s="244">
        <v>5</v>
      </c>
      <c r="D9" s="244">
        <v>90</v>
      </c>
      <c r="E9" s="245">
        <f t="shared" si="0"/>
        <v>450</v>
      </c>
      <c r="F9" s="245">
        <f t="shared" si="1"/>
        <v>25</v>
      </c>
      <c r="G9" s="245">
        <f t="shared" si="2"/>
        <v>8100</v>
      </c>
    </row>
    <row r="10" spans="1:7">
      <c r="B10" s="244" t="s">
        <v>187</v>
      </c>
      <c r="C10" s="244">
        <v>8</v>
      </c>
      <c r="D10" s="244">
        <v>78</v>
      </c>
      <c r="E10" s="245">
        <f t="shared" si="0"/>
        <v>624</v>
      </c>
      <c r="F10" s="245">
        <f t="shared" si="1"/>
        <v>64</v>
      </c>
      <c r="G10" s="245">
        <f t="shared" si="2"/>
        <v>6084</v>
      </c>
    </row>
    <row r="11" spans="1:7">
      <c r="C11" s="288">
        <f t="shared" ref="C11:G11" si="3">SUM(C4:C10)</f>
        <v>57</v>
      </c>
      <c r="D11" s="288">
        <f t="shared" si="3"/>
        <v>511</v>
      </c>
      <c r="E11" s="288">
        <f t="shared" si="3"/>
        <v>3745</v>
      </c>
      <c r="F11" s="288">
        <f t="shared" si="3"/>
        <v>579</v>
      </c>
      <c r="G11" s="288">
        <f t="shared" si="3"/>
        <v>38993</v>
      </c>
    </row>
    <row r="13" spans="1:7">
      <c r="A13" s="246" t="s">
        <v>188</v>
      </c>
      <c r="B13" s="56">
        <f>COUNTA(B4:B10)</f>
        <v>7</v>
      </c>
      <c r="E13" s="243" t="s">
        <v>151</v>
      </c>
      <c r="F13" s="243" t="s">
        <v>183</v>
      </c>
      <c r="G13" s="243" t="s">
        <v>155</v>
      </c>
    </row>
    <row r="14" spans="1:7">
      <c r="A14" s="246" t="s">
        <v>189</v>
      </c>
      <c r="B14" s="56">
        <f>(B13*E11-C11*D11)/SQRT((B13*F11-C11^2)*(B13*G11-D11^2))</f>
        <v>-0.94421517068791783</v>
      </c>
      <c r="E14" s="244" t="s">
        <v>190</v>
      </c>
      <c r="F14" s="244">
        <v>10</v>
      </c>
      <c r="G14" s="245">
        <f>$B$19+$B$20*F14</f>
        <v>66.273631840796014</v>
      </c>
    </row>
    <row r="15" spans="1:7">
      <c r="A15" s="246" t="s">
        <v>189</v>
      </c>
      <c r="B15" s="56">
        <f>CORREL(C4:C10,D4:D10)</f>
        <v>-0.94421517068791805</v>
      </c>
      <c r="E15" s="244" t="s">
        <v>191</v>
      </c>
      <c r="F15" s="244">
        <v>11</v>
      </c>
      <c r="G15" s="245">
        <f t="shared" ref="G15:G16" si="4">$B$19+$B$20*F15</f>
        <v>62.651741293532332</v>
      </c>
    </row>
    <row r="16" spans="1:7">
      <c r="A16" s="246" t="s">
        <v>189</v>
      </c>
      <c r="B16" s="56">
        <f>CORREL(D4:D10,C4:C10)</f>
        <v>-0.94421517068791805</v>
      </c>
      <c r="E16" s="244" t="s">
        <v>192</v>
      </c>
      <c r="F16" s="244">
        <v>13</v>
      </c>
      <c r="G16" s="245">
        <f t="shared" si="4"/>
        <v>55.407960199004968</v>
      </c>
    </row>
    <row r="17" spans="1:3">
      <c r="A17" s="246" t="s">
        <v>193</v>
      </c>
      <c r="B17" s="56">
        <f>(D11*F11-C11*E11)/(B13*F11-C11^2)</f>
        <v>102.49253731343283</v>
      </c>
      <c r="C17" s="56" t="s">
        <v>194</v>
      </c>
    </row>
    <row r="18" spans="1:3">
      <c r="A18" s="246" t="s">
        <v>195</v>
      </c>
      <c r="B18" s="56">
        <f>(B13*E11-C11*D11)/(B13*F11-C11^2)</f>
        <v>-3.6218905472636815</v>
      </c>
      <c r="C18" s="56" t="s">
        <v>196</v>
      </c>
    </row>
    <row r="19" spans="1:3">
      <c r="A19" s="246" t="s">
        <v>193</v>
      </c>
      <c r="B19" s="56">
        <f>INTERCEPT(D4:D10,C4:C10)</f>
        <v>102.49253731343283</v>
      </c>
      <c r="C19" s="56" t="s">
        <v>194</v>
      </c>
    </row>
    <row r="20" spans="1:3">
      <c r="A20" s="246" t="s">
        <v>195</v>
      </c>
      <c r="B20" s="56">
        <f>SLOPE(D4:D10,C4:C10)</f>
        <v>-3.621890547263682</v>
      </c>
      <c r="C20" s="56" t="s">
        <v>196</v>
      </c>
    </row>
    <row r="21" spans="1:3">
      <c r="A21" s="246" t="s">
        <v>197</v>
      </c>
      <c r="B21" s="56">
        <f>B14^2</f>
        <v>0.89154228855721385</v>
      </c>
      <c r="C21" s="247">
        <f>B21</f>
        <v>0.89154228855721385</v>
      </c>
    </row>
    <row r="22" spans="1:3">
      <c r="A22" s="246"/>
    </row>
    <row r="23" spans="1:3">
      <c r="A23" s="2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F8F6-C621-4B4B-8CE7-2C9F7D97169A}">
  <dimension ref="B3:P21"/>
  <sheetViews>
    <sheetView zoomScale="120" zoomScaleNormal="120" workbookViewId="0"/>
  </sheetViews>
  <sheetFormatPr defaultRowHeight="13.8"/>
  <cols>
    <col min="1" max="1" width="4.21875" style="56" customWidth="1"/>
    <col min="2" max="6" width="8.88671875" style="56"/>
    <col min="7" max="7" width="15.21875" style="56" customWidth="1"/>
    <col min="8" max="8" width="16.44140625" style="56" bestFit="1" customWidth="1"/>
    <col min="9" max="9" width="12.5546875" style="56" bestFit="1" customWidth="1"/>
    <col min="10" max="10" width="13.21875" style="56" bestFit="1" customWidth="1"/>
    <col min="11" max="11" width="12.5546875" style="56" bestFit="1" customWidth="1"/>
    <col min="12" max="12" width="12" style="56" bestFit="1" customWidth="1"/>
    <col min="13" max="13" width="12.5546875" style="56" bestFit="1" customWidth="1"/>
    <col min="14" max="14" width="12" style="56" bestFit="1" customWidth="1"/>
    <col min="15" max="15" width="12.5546875" style="56" bestFit="1" customWidth="1"/>
    <col min="16" max="16" width="12" style="56" bestFit="1" customWidth="1"/>
    <col min="17" max="16384" width="8.88671875" style="56"/>
  </cols>
  <sheetData>
    <row r="3" spans="2:13">
      <c r="B3" s="243" t="s">
        <v>151</v>
      </c>
      <c r="C3" s="243" t="s">
        <v>152</v>
      </c>
      <c r="D3" s="243" t="s">
        <v>153</v>
      </c>
      <c r="E3" s="243" t="s">
        <v>154</v>
      </c>
      <c r="F3" s="243" t="s">
        <v>155</v>
      </c>
      <c r="G3" s="243" t="s">
        <v>199</v>
      </c>
      <c r="H3" s="56" t="s">
        <v>157</v>
      </c>
    </row>
    <row r="4" spans="2:13" ht="14.4" thickBot="1">
      <c r="B4" s="244" t="s">
        <v>51</v>
      </c>
      <c r="C4" s="244">
        <v>3.2</v>
      </c>
      <c r="D4" s="244">
        <v>22</v>
      </c>
      <c r="E4" s="244">
        <v>550</v>
      </c>
      <c r="F4" s="244">
        <f>$I$19+$I$20*C4+$I$21*D4</f>
        <v>555.36373267414149</v>
      </c>
      <c r="G4" s="245">
        <f>(E4-F4)^2</f>
        <v>28.769628199652999</v>
      </c>
    </row>
    <row r="5" spans="2:13">
      <c r="B5" s="244" t="s">
        <v>55</v>
      </c>
      <c r="C5" s="244">
        <v>2.7</v>
      </c>
      <c r="D5" s="244">
        <v>27</v>
      </c>
      <c r="E5" s="244">
        <v>570</v>
      </c>
      <c r="F5" s="244">
        <f t="shared" ref="F5:F8" si="0">$I$19+$I$20*C5+$I$21*D5</f>
        <v>584.20852829522391</v>
      </c>
      <c r="G5" s="245">
        <f t="shared" ref="G5:G8" si="1">(E5-F5)^2</f>
        <v>201.88227631617858</v>
      </c>
      <c r="H5" s="231" t="s">
        <v>158</v>
      </c>
      <c r="I5" s="231"/>
    </row>
    <row r="6" spans="2:13">
      <c r="B6" s="244" t="s">
        <v>159</v>
      </c>
      <c r="C6" s="244">
        <v>2.5</v>
      </c>
      <c r="D6" s="244">
        <v>24</v>
      </c>
      <c r="E6" s="244">
        <v>525</v>
      </c>
      <c r="F6" s="244">
        <f t="shared" si="0"/>
        <v>523.08157499779293</v>
      </c>
      <c r="G6" s="245">
        <f t="shared" si="1"/>
        <v>3.6803544890932072</v>
      </c>
      <c r="H6" s="56" t="s">
        <v>160</v>
      </c>
      <c r="I6" s="56">
        <v>0.98928820282730667</v>
      </c>
    </row>
    <row r="7" spans="2:13">
      <c r="B7" s="244" t="s">
        <v>161</v>
      </c>
      <c r="C7" s="244">
        <v>3.4</v>
      </c>
      <c r="D7" s="244">
        <v>28</v>
      </c>
      <c r="E7" s="244">
        <v>670</v>
      </c>
      <c r="F7" s="244">
        <f t="shared" si="0"/>
        <v>660.08960889909076</v>
      </c>
      <c r="G7" s="245">
        <f t="shared" si="1"/>
        <v>98.215851772980997</v>
      </c>
      <c r="H7" s="56" t="s">
        <v>162</v>
      </c>
      <c r="I7" s="56">
        <v>0.97869114825328229</v>
      </c>
    </row>
    <row r="8" spans="2:13">
      <c r="B8" s="244" t="s">
        <v>163</v>
      </c>
      <c r="C8" s="244">
        <v>2.2000000000000002</v>
      </c>
      <c r="D8" s="244">
        <v>23</v>
      </c>
      <c r="E8" s="244">
        <v>490</v>
      </c>
      <c r="F8" s="244">
        <f t="shared" si="0"/>
        <v>482.25655513375125</v>
      </c>
      <c r="G8" s="245">
        <f t="shared" si="1"/>
        <v>59.960938396634141</v>
      </c>
      <c r="H8" s="56" t="s">
        <v>164</v>
      </c>
      <c r="I8" s="56">
        <v>0.95738229650656459</v>
      </c>
    </row>
    <row r="9" spans="2:13">
      <c r="G9" s="271">
        <f>SUM(G4:G8)</f>
        <v>392.50904917453994</v>
      </c>
      <c r="H9" s="56" t="s">
        <v>165</v>
      </c>
      <c r="I9" s="56">
        <v>14.009087214635695</v>
      </c>
    </row>
    <row r="10" spans="2:13" ht="14.4" thickBot="1">
      <c r="B10" s="243" t="s">
        <v>151</v>
      </c>
      <c r="C10" s="243" t="s">
        <v>152</v>
      </c>
      <c r="D10" s="243" t="s">
        <v>153</v>
      </c>
      <c r="E10" s="243" t="s">
        <v>154</v>
      </c>
      <c r="F10" s="249"/>
      <c r="H10" s="236" t="s">
        <v>166</v>
      </c>
      <c r="I10" s="236">
        <v>5</v>
      </c>
    </row>
    <row r="11" spans="2:13">
      <c r="B11" s="244" t="s">
        <v>171</v>
      </c>
      <c r="C11" s="250">
        <v>3</v>
      </c>
      <c r="D11" s="244">
        <v>25</v>
      </c>
      <c r="E11" s="244">
        <f>$I$19+$I$20*C11+$I$21*D11</f>
        <v>581.43462523174719</v>
      </c>
      <c r="F11" s="248"/>
    </row>
    <row r="12" spans="2:13" ht="14.4" thickBot="1">
      <c r="B12" s="244" t="s">
        <v>187</v>
      </c>
      <c r="C12" s="244">
        <v>3.1</v>
      </c>
      <c r="D12" s="244">
        <v>23</v>
      </c>
      <c r="E12" s="244">
        <f t="shared" ref="E12:E13" si="2">$I$19+$I$20*C12+$I$21*D12</f>
        <v>561.132691798358</v>
      </c>
      <c r="F12" s="248"/>
      <c r="H12" s="56" t="s">
        <v>167</v>
      </c>
    </row>
    <row r="13" spans="2:13">
      <c r="B13" s="244" t="s">
        <v>190</v>
      </c>
      <c r="C13" s="244">
        <v>3.3</v>
      </c>
      <c r="D13" s="244">
        <v>27</v>
      </c>
      <c r="E13" s="244">
        <f t="shared" si="2"/>
        <v>636.79261940496167</v>
      </c>
      <c r="F13" s="248"/>
      <c r="H13" s="241"/>
      <c r="I13" s="241" t="s">
        <v>168</v>
      </c>
      <c r="J13" s="241" t="s">
        <v>169</v>
      </c>
      <c r="K13" s="241" t="s">
        <v>170</v>
      </c>
      <c r="L13" s="241" t="s">
        <v>171</v>
      </c>
      <c r="M13" s="241" t="s">
        <v>172</v>
      </c>
    </row>
    <row r="14" spans="2:13">
      <c r="H14" s="56" t="s">
        <v>173</v>
      </c>
      <c r="I14" s="56">
        <v>2</v>
      </c>
      <c r="J14" s="56">
        <v>18027.49095082546</v>
      </c>
      <c r="K14" s="56">
        <v>9013.7454754127302</v>
      </c>
      <c r="L14" s="56">
        <v>45.928854350588743</v>
      </c>
      <c r="M14" s="56">
        <v>2.1308851746717622E-2</v>
      </c>
    </row>
    <row r="15" spans="2:13">
      <c r="H15" s="56" t="s">
        <v>174</v>
      </c>
      <c r="I15" s="56">
        <v>2</v>
      </c>
      <c r="J15" s="242">
        <v>392.50904917453863</v>
      </c>
      <c r="K15" s="56">
        <v>196.25452458726932</v>
      </c>
    </row>
    <row r="16" spans="2:13" ht="14.4" thickBot="1">
      <c r="H16" s="236" t="s">
        <v>59</v>
      </c>
      <c r="I16" s="236">
        <v>4</v>
      </c>
      <c r="J16" s="236">
        <v>18420</v>
      </c>
      <c r="K16" s="236"/>
      <c r="L16" s="236"/>
      <c r="M16" s="236"/>
    </row>
    <row r="17" spans="8:16" ht="14.4" thickBot="1"/>
    <row r="18" spans="8:16">
      <c r="H18" s="241"/>
      <c r="I18" s="241" t="s">
        <v>175</v>
      </c>
      <c r="J18" s="241" t="s">
        <v>165</v>
      </c>
      <c r="K18" s="241" t="s">
        <v>176</v>
      </c>
      <c r="L18" s="241" t="s">
        <v>177</v>
      </c>
      <c r="M18" s="241" t="s">
        <v>178</v>
      </c>
      <c r="N18" s="241" t="s">
        <v>179</v>
      </c>
      <c r="O18" s="241" t="s">
        <v>180</v>
      </c>
      <c r="P18" s="241" t="s">
        <v>181</v>
      </c>
    </row>
    <row r="19" spans="8:16">
      <c r="H19" s="56" t="s">
        <v>182</v>
      </c>
      <c r="I19" s="56">
        <v>-44.81018804626126</v>
      </c>
      <c r="J19" s="56">
        <v>69.246866630890381</v>
      </c>
      <c r="K19" s="56">
        <v>-0.64710780756499753</v>
      </c>
      <c r="L19" s="56">
        <v>0.58391574508017841</v>
      </c>
      <c r="M19" s="56">
        <v>-342.75540778225883</v>
      </c>
      <c r="N19" s="56">
        <v>253.13503168973631</v>
      </c>
      <c r="O19" s="56">
        <v>-342.75540778225883</v>
      </c>
      <c r="P19" s="56">
        <v>253.13503168973631</v>
      </c>
    </row>
    <row r="20" spans="8:16">
      <c r="H20" s="56" t="s">
        <v>152</v>
      </c>
      <c r="I20" s="56">
        <v>87.640151849563026</v>
      </c>
      <c r="J20" s="56">
        <v>15.237186664924886</v>
      </c>
      <c r="K20" s="56">
        <v>5.7517279125618073</v>
      </c>
      <c r="L20" s="56">
        <v>2.8922600815111749E-2</v>
      </c>
      <c r="M20" s="56">
        <v>22.079829052021836</v>
      </c>
      <c r="N20" s="56">
        <v>153.20047464710422</v>
      </c>
      <c r="O20" s="56">
        <v>22.079829052021836</v>
      </c>
      <c r="P20" s="56">
        <v>153.20047464710422</v>
      </c>
    </row>
    <row r="21" spans="8:16" ht="14.4" thickBot="1">
      <c r="H21" s="236" t="s">
        <v>153</v>
      </c>
      <c r="I21" s="236">
        <v>14.532974309172776</v>
      </c>
      <c r="J21" s="236">
        <v>2.9137375361504319</v>
      </c>
      <c r="K21" s="236">
        <v>4.9877431061870565</v>
      </c>
      <c r="L21" s="236">
        <v>3.7924876930238542E-2</v>
      </c>
      <c r="M21" s="236">
        <v>1.9961735454816427</v>
      </c>
      <c r="N21" s="236">
        <v>27.069775072863909</v>
      </c>
      <c r="O21" s="236">
        <v>1.9961735454816427</v>
      </c>
      <c r="P21" s="236">
        <v>27.069775072863909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EFF-E703-441C-97DD-F68840B6F847}">
  <dimension ref="B1:Q23"/>
  <sheetViews>
    <sheetView zoomScale="120" zoomScaleNormal="120" workbookViewId="0">
      <selection activeCell="G8" sqref="G8"/>
    </sheetView>
  </sheetViews>
  <sheetFormatPr defaultRowHeight="13.8"/>
  <cols>
    <col min="1" max="8" width="8.88671875" style="56"/>
    <col min="9" max="9" width="16.77734375" style="56" bestFit="1" customWidth="1"/>
    <col min="10" max="10" width="12.6640625" style="56" bestFit="1" customWidth="1"/>
    <col min="11" max="11" width="13.21875" style="56" bestFit="1" customWidth="1"/>
    <col min="12" max="12" width="12.6640625" style="56" bestFit="1" customWidth="1"/>
    <col min="13" max="13" width="12.109375" style="56" bestFit="1" customWidth="1"/>
    <col min="14" max="14" width="13" style="56" bestFit="1" customWidth="1"/>
    <col min="15" max="15" width="12.109375" style="56" bestFit="1" customWidth="1"/>
    <col min="16" max="16" width="12.6640625" style="56" bestFit="1" customWidth="1"/>
    <col min="17" max="17" width="12.21875" style="56" bestFit="1" customWidth="1"/>
    <col min="18" max="16384" width="8.88671875" style="56"/>
  </cols>
  <sheetData>
    <row r="1" spans="2:17" ht="14.4" thickBot="1"/>
    <row r="2" spans="2:17" ht="15" thickBot="1">
      <c r="B2" s="222" t="s">
        <v>151</v>
      </c>
      <c r="C2" s="223" t="s">
        <v>152</v>
      </c>
      <c r="D2" s="224" t="s">
        <v>153</v>
      </c>
      <c r="E2" s="222" t="s">
        <v>154</v>
      </c>
      <c r="F2" s="222" t="s">
        <v>155</v>
      </c>
      <c r="G2" s="222" t="s">
        <v>156</v>
      </c>
      <c r="I2" t="s">
        <v>157</v>
      </c>
      <c r="J2"/>
      <c r="K2"/>
      <c r="L2"/>
      <c r="M2"/>
      <c r="N2"/>
      <c r="O2"/>
      <c r="P2"/>
      <c r="Q2"/>
    </row>
    <row r="3" spans="2:17" ht="15" thickBot="1">
      <c r="B3" s="225" t="s">
        <v>51</v>
      </c>
      <c r="C3" s="226">
        <v>3.2</v>
      </c>
      <c r="D3" s="181">
        <v>22</v>
      </c>
      <c r="E3" s="227">
        <v>550</v>
      </c>
      <c r="F3" s="227">
        <f>$J$18+$J$19*C3+$J$20*D3</f>
        <v>555.36373267414149</v>
      </c>
      <c r="G3" s="227">
        <f>(E3-F3)^2</f>
        <v>28.769628199652999</v>
      </c>
      <c r="I3"/>
      <c r="J3"/>
      <c r="K3"/>
      <c r="L3"/>
      <c r="M3"/>
      <c r="N3"/>
      <c r="O3"/>
      <c r="P3"/>
      <c r="Q3"/>
    </row>
    <row r="4" spans="2:17" ht="14.4">
      <c r="B4" s="228" t="s">
        <v>55</v>
      </c>
      <c r="C4" s="229">
        <v>2.7</v>
      </c>
      <c r="D4" s="182">
        <v>27</v>
      </c>
      <c r="E4" s="230">
        <v>570</v>
      </c>
      <c r="F4" s="230">
        <f t="shared" ref="F4:F7" si="0">$J$18+$J$19*C4+$J$20*D4</f>
        <v>584.20852829522391</v>
      </c>
      <c r="G4" s="227">
        <f t="shared" ref="G4:G7" si="1">(E4-F4)^2</f>
        <v>201.88227631617858</v>
      </c>
      <c r="I4" s="291" t="s">
        <v>158</v>
      </c>
      <c r="J4" s="291"/>
      <c r="K4"/>
      <c r="L4"/>
      <c r="M4"/>
      <c r="N4"/>
      <c r="O4"/>
      <c r="P4"/>
      <c r="Q4"/>
    </row>
    <row r="5" spans="2:17" ht="14.4">
      <c r="B5" s="228" t="s">
        <v>159</v>
      </c>
      <c r="C5" s="229">
        <v>2.5</v>
      </c>
      <c r="D5" s="182">
        <v>24</v>
      </c>
      <c r="E5" s="230">
        <v>525</v>
      </c>
      <c r="F5" s="230">
        <f t="shared" si="0"/>
        <v>523.08157499779293</v>
      </c>
      <c r="G5" s="227">
        <f t="shared" si="1"/>
        <v>3.6803544890932072</v>
      </c>
      <c r="I5" t="s">
        <v>160</v>
      </c>
      <c r="J5">
        <v>0.98928820282730667</v>
      </c>
      <c r="K5"/>
      <c r="L5"/>
      <c r="M5"/>
      <c r="N5"/>
      <c r="O5"/>
      <c r="P5"/>
      <c r="Q5"/>
    </row>
    <row r="6" spans="2:17" ht="14.4">
      <c r="B6" s="228" t="s">
        <v>161</v>
      </c>
      <c r="C6" s="229">
        <v>3.4</v>
      </c>
      <c r="D6" s="182">
        <v>28</v>
      </c>
      <c r="E6" s="230">
        <v>670</v>
      </c>
      <c r="F6" s="230">
        <f t="shared" si="0"/>
        <v>660.08960889909076</v>
      </c>
      <c r="G6" s="227">
        <f t="shared" si="1"/>
        <v>98.215851772980997</v>
      </c>
      <c r="I6" t="s">
        <v>162</v>
      </c>
      <c r="J6">
        <v>0.97869114825328229</v>
      </c>
      <c r="K6"/>
      <c r="L6"/>
      <c r="M6"/>
      <c r="N6"/>
      <c r="O6"/>
      <c r="P6"/>
      <c r="Q6"/>
    </row>
    <row r="7" spans="2:17" ht="15" thickBot="1">
      <c r="B7" s="232" t="s">
        <v>163</v>
      </c>
      <c r="C7" s="233">
        <v>2.2000000000000002</v>
      </c>
      <c r="D7" s="183">
        <v>23</v>
      </c>
      <c r="E7" s="234">
        <v>490</v>
      </c>
      <c r="F7" s="234">
        <f t="shared" si="0"/>
        <v>482.25655513375125</v>
      </c>
      <c r="G7" s="227">
        <f t="shared" si="1"/>
        <v>59.960938396634141</v>
      </c>
      <c r="I7" t="s">
        <v>164</v>
      </c>
      <c r="J7">
        <v>0.95738229650656459</v>
      </c>
      <c r="K7"/>
      <c r="L7"/>
      <c r="M7"/>
      <c r="N7"/>
      <c r="O7"/>
      <c r="P7"/>
      <c r="Q7"/>
    </row>
    <row r="8" spans="2:17" ht="15" thickBot="1">
      <c r="G8" s="235">
        <f>SUM(G3:G7)</f>
        <v>392.50904917453994</v>
      </c>
      <c r="I8" t="s">
        <v>165</v>
      </c>
      <c r="J8">
        <v>14.009087214635695</v>
      </c>
      <c r="K8"/>
      <c r="L8"/>
      <c r="M8"/>
      <c r="N8"/>
      <c r="O8"/>
      <c r="P8"/>
      <c r="Q8"/>
    </row>
    <row r="9" spans="2:17" ht="15" thickBot="1">
      <c r="I9" s="289" t="s">
        <v>166</v>
      </c>
      <c r="J9" s="289">
        <v>5</v>
      </c>
      <c r="K9"/>
      <c r="L9"/>
      <c r="M9"/>
      <c r="N9"/>
      <c r="O9"/>
      <c r="P9"/>
      <c r="Q9"/>
    </row>
    <row r="10" spans="2:17" ht="15" thickBot="1">
      <c r="B10" s="237" t="s">
        <v>152</v>
      </c>
      <c r="C10" s="224" t="s">
        <v>153</v>
      </c>
      <c r="D10" s="222" t="s">
        <v>155</v>
      </c>
      <c r="I10"/>
      <c r="J10"/>
      <c r="K10"/>
      <c r="L10"/>
      <c r="M10"/>
      <c r="N10"/>
      <c r="O10"/>
      <c r="P10"/>
      <c r="Q10"/>
    </row>
    <row r="11" spans="2:17" ht="15" thickBot="1">
      <c r="B11" s="238">
        <v>3</v>
      </c>
      <c r="C11" s="181">
        <v>25</v>
      </c>
      <c r="D11" s="227">
        <f>$J$18+$J$19*B11+$J$20*C11</f>
        <v>581.43462523174719</v>
      </c>
      <c r="I11" t="s">
        <v>167</v>
      </c>
      <c r="J11"/>
      <c r="K11"/>
      <c r="L11"/>
      <c r="M11"/>
      <c r="N11"/>
      <c r="O11"/>
      <c r="P11"/>
      <c r="Q11"/>
    </row>
    <row r="12" spans="2:17" ht="15" thickBot="1">
      <c r="B12" s="239">
        <v>2.6</v>
      </c>
      <c r="C12" s="183">
        <v>26</v>
      </c>
      <c r="D12" s="227">
        <f>$J$18+$J$19*B12+$J$20*C12</f>
        <v>560.91153880109482</v>
      </c>
      <c r="G12" s="240"/>
      <c r="I12" s="290"/>
      <c r="J12" s="290" t="s">
        <v>168</v>
      </c>
      <c r="K12" s="290" t="s">
        <v>169</v>
      </c>
      <c r="L12" s="290" t="s">
        <v>170</v>
      </c>
      <c r="M12" s="290" t="s">
        <v>171</v>
      </c>
      <c r="N12" s="290" t="s">
        <v>172</v>
      </c>
      <c r="O12"/>
      <c r="P12"/>
      <c r="Q12"/>
    </row>
    <row r="13" spans="2:17" ht="14.4">
      <c r="I13" t="s">
        <v>173</v>
      </c>
      <c r="J13">
        <v>2</v>
      </c>
      <c r="K13">
        <v>18027.49095082546</v>
      </c>
      <c r="L13">
        <v>9013.7454754127302</v>
      </c>
      <c r="M13">
        <v>45.928854350588743</v>
      </c>
      <c r="N13">
        <v>2.1308851746717622E-2</v>
      </c>
      <c r="O13"/>
      <c r="P13"/>
      <c r="Q13"/>
    </row>
    <row r="14" spans="2:17" ht="14.4">
      <c r="I14" t="s">
        <v>174</v>
      </c>
      <c r="J14">
        <v>2</v>
      </c>
      <c r="K14" s="292">
        <v>392.50904917453863</v>
      </c>
      <c r="L14">
        <v>196.25452458726932</v>
      </c>
      <c r="M14"/>
      <c r="N14"/>
      <c r="O14"/>
      <c r="P14"/>
      <c r="Q14"/>
    </row>
    <row r="15" spans="2:17" ht="15" thickBot="1">
      <c r="I15" s="289" t="s">
        <v>59</v>
      </c>
      <c r="J15" s="289">
        <v>4</v>
      </c>
      <c r="K15" s="289">
        <v>18420</v>
      </c>
      <c r="L15" s="289"/>
      <c r="M15" s="289"/>
      <c r="N15" s="289"/>
      <c r="O15"/>
      <c r="P15"/>
      <c r="Q15"/>
    </row>
    <row r="16" spans="2:17" ht="15" thickBot="1">
      <c r="I16"/>
      <c r="J16"/>
      <c r="K16"/>
      <c r="L16"/>
      <c r="M16"/>
      <c r="N16"/>
      <c r="O16"/>
      <c r="P16"/>
      <c r="Q16"/>
    </row>
    <row r="17" spans="9:17" ht="14.4">
      <c r="I17" s="290"/>
      <c r="J17" s="290" t="s">
        <v>175</v>
      </c>
      <c r="K17" s="290" t="s">
        <v>165</v>
      </c>
      <c r="L17" s="290" t="s">
        <v>176</v>
      </c>
      <c r="M17" s="290" t="s">
        <v>177</v>
      </c>
      <c r="N17" s="290" t="s">
        <v>178</v>
      </c>
      <c r="O17" s="290" t="s">
        <v>179</v>
      </c>
      <c r="P17" s="290" t="s">
        <v>180</v>
      </c>
      <c r="Q17" s="290" t="s">
        <v>181</v>
      </c>
    </row>
    <row r="18" spans="9:17" ht="14.4">
      <c r="I18" t="s">
        <v>182</v>
      </c>
      <c r="J18" s="292">
        <v>-44.81018804626126</v>
      </c>
      <c r="K18">
        <v>69.246866630890381</v>
      </c>
      <c r="L18">
        <v>-0.64710780756499753</v>
      </c>
      <c r="M18">
        <v>0.58391574508017841</v>
      </c>
      <c r="N18">
        <v>-342.75540778225883</v>
      </c>
      <c r="O18">
        <v>253.13503168973631</v>
      </c>
      <c r="P18">
        <v>-342.75540778225883</v>
      </c>
      <c r="Q18">
        <v>253.13503168973631</v>
      </c>
    </row>
    <row r="19" spans="9:17" ht="14.4">
      <c r="I19" t="s">
        <v>152</v>
      </c>
      <c r="J19" s="292">
        <v>87.640151849563026</v>
      </c>
      <c r="K19">
        <v>15.237186664924886</v>
      </c>
      <c r="L19">
        <v>5.7517279125618073</v>
      </c>
      <c r="M19">
        <v>2.8922600815111749E-2</v>
      </c>
      <c r="N19">
        <v>22.079829052021836</v>
      </c>
      <c r="O19">
        <v>153.20047464710422</v>
      </c>
      <c r="P19">
        <v>22.079829052021836</v>
      </c>
      <c r="Q19">
        <v>153.20047464710422</v>
      </c>
    </row>
    <row r="20" spans="9:17" ht="15" thickBot="1">
      <c r="I20" s="289" t="s">
        <v>153</v>
      </c>
      <c r="J20" s="293">
        <v>14.532974309172776</v>
      </c>
      <c r="K20" s="289">
        <v>2.9137375361504319</v>
      </c>
      <c r="L20" s="289">
        <v>4.9877431061870565</v>
      </c>
      <c r="M20" s="289">
        <v>3.7924876930238542E-2</v>
      </c>
      <c r="N20" s="289">
        <v>1.9961735454816427</v>
      </c>
      <c r="O20" s="289">
        <v>27.069775072863909</v>
      </c>
      <c r="P20" s="289">
        <v>1.9961735454816427</v>
      </c>
      <c r="Q20" s="289">
        <v>27.069775072863909</v>
      </c>
    </row>
    <row r="21" spans="9:17" ht="14.4">
      <c r="I21"/>
      <c r="J21"/>
      <c r="K21"/>
      <c r="L21"/>
      <c r="M21"/>
      <c r="N21"/>
      <c r="O21"/>
      <c r="P21"/>
      <c r="Q21"/>
    </row>
    <row r="22" spans="9:17" ht="14.4">
      <c r="I22"/>
      <c r="J22"/>
      <c r="K22"/>
      <c r="L22"/>
      <c r="M22"/>
      <c r="N22"/>
      <c r="O22"/>
      <c r="P22"/>
      <c r="Q22"/>
    </row>
    <row r="23" spans="9:17" ht="14.4">
      <c r="I23"/>
      <c r="J23"/>
      <c r="K23"/>
      <c r="L23"/>
      <c r="M23"/>
      <c r="N23"/>
      <c r="O23"/>
      <c r="P23"/>
      <c r="Q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9039-5021-438F-8E5F-8756902C26B7}">
  <dimension ref="B1:AC66"/>
  <sheetViews>
    <sheetView showGridLines="0" zoomScale="85" zoomScaleNormal="85" workbookViewId="0"/>
  </sheetViews>
  <sheetFormatPr defaultColWidth="8.88671875" defaultRowHeight="14.4"/>
  <cols>
    <col min="1" max="1" width="4.21875" style="1" customWidth="1"/>
    <col min="2" max="2" width="8.5546875" style="1" customWidth="1"/>
    <col min="3" max="3" width="18" style="1" bestFit="1" customWidth="1"/>
    <col min="4" max="4" width="16.21875" style="1" bestFit="1" customWidth="1"/>
    <col min="5" max="5" width="11.77734375" style="1" bestFit="1" customWidth="1"/>
    <col min="6" max="6" width="8.5546875" style="1" bestFit="1" customWidth="1"/>
    <col min="7" max="7" width="6" style="1" bestFit="1" customWidth="1"/>
    <col min="8" max="8" width="12.5546875" style="24" bestFit="1" customWidth="1"/>
    <col min="9" max="9" width="8.77734375" style="1" customWidth="1"/>
    <col min="10" max="11" width="8.88671875" style="1"/>
    <col min="12" max="12" width="28" style="3" bestFit="1" customWidth="1"/>
    <col min="13" max="14" width="8.88671875" style="3"/>
    <col min="15" max="19" width="8.88671875" style="1"/>
    <col min="20" max="20" width="20" style="1" bestFit="1" customWidth="1"/>
    <col min="21" max="21" width="34" style="1" bestFit="1" customWidth="1"/>
    <col min="22" max="22" width="10.21875" style="1" bestFit="1" customWidth="1"/>
    <col min="23" max="24" width="8.88671875" style="1"/>
    <col min="25" max="25" width="15.21875" style="1" bestFit="1" customWidth="1"/>
    <col min="26" max="26" width="20.77734375" style="1" bestFit="1" customWidth="1"/>
    <col min="27" max="27" width="16.44140625" style="1" bestFit="1" customWidth="1"/>
    <col min="28" max="28" width="12.109375" style="1" bestFit="1" customWidth="1"/>
    <col min="29" max="29" width="8.109375" style="1" bestFit="1" customWidth="1"/>
    <col min="30" max="16384" width="8.88671875" style="1"/>
  </cols>
  <sheetData>
    <row r="1" spans="2:29">
      <c r="H1" s="2"/>
      <c r="I1" s="3"/>
      <c r="J1" s="3"/>
      <c r="K1" s="3"/>
      <c r="O1" s="3"/>
      <c r="P1" s="3"/>
      <c r="Q1" s="3"/>
      <c r="R1" s="3"/>
      <c r="S1" s="3"/>
      <c r="T1" s="3"/>
      <c r="U1" s="3"/>
    </row>
    <row r="2" spans="2:29" ht="15" thickBot="1">
      <c r="H2" s="2"/>
      <c r="I2" s="3"/>
      <c r="J2" s="3"/>
      <c r="K2" s="3"/>
      <c r="O2" s="3"/>
      <c r="P2" s="3"/>
      <c r="Q2" s="3"/>
      <c r="R2" s="3"/>
      <c r="S2" s="3"/>
      <c r="T2" s="3"/>
      <c r="U2" s="3"/>
    </row>
    <row r="3" spans="2:29" ht="18.600000000000001" thickBot="1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2"/>
      <c r="I3" s="3"/>
      <c r="J3" s="3"/>
      <c r="K3" s="3"/>
      <c r="O3" s="3"/>
      <c r="P3" s="3"/>
      <c r="Q3" s="3"/>
      <c r="R3" s="3"/>
      <c r="S3" s="3"/>
      <c r="T3" s="3"/>
      <c r="U3" s="3"/>
      <c r="X3" s="4" t="s">
        <v>0</v>
      </c>
      <c r="Y3" s="5" t="s">
        <v>6</v>
      </c>
      <c r="Z3" s="5" t="s">
        <v>7</v>
      </c>
      <c r="AA3" s="5" t="s">
        <v>8</v>
      </c>
      <c r="AB3" s="5" t="s">
        <v>9</v>
      </c>
      <c r="AC3" s="4" t="s">
        <v>10</v>
      </c>
    </row>
    <row r="4" spans="2:29" ht="18.600000000000001" thickBot="1">
      <c r="B4" s="6">
        <v>1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2"/>
      <c r="I4" s="3"/>
      <c r="J4" s="3"/>
      <c r="K4" s="3"/>
      <c r="O4" s="3"/>
      <c r="P4" s="3"/>
      <c r="Q4" s="3"/>
      <c r="R4" s="3"/>
      <c r="S4" s="3"/>
      <c r="T4" s="3"/>
      <c r="U4" s="3"/>
      <c r="X4" s="6">
        <v>1</v>
      </c>
      <c r="Y4" s="7" t="s">
        <v>16</v>
      </c>
      <c r="Z4" s="7" t="s">
        <v>17</v>
      </c>
      <c r="AA4" s="7" t="s">
        <v>18</v>
      </c>
      <c r="AB4" s="7" t="s">
        <v>19</v>
      </c>
      <c r="AC4" s="6" t="s">
        <v>20</v>
      </c>
    </row>
    <row r="5" spans="2:29" ht="18.600000000000001" thickBot="1">
      <c r="B5" s="6">
        <v>2</v>
      </c>
      <c r="C5" s="7" t="s">
        <v>11</v>
      </c>
      <c r="D5" s="7" t="s">
        <v>12</v>
      </c>
      <c r="E5" s="7" t="s">
        <v>13</v>
      </c>
      <c r="F5" s="7" t="s">
        <v>21</v>
      </c>
      <c r="G5" s="7" t="s">
        <v>15</v>
      </c>
      <c r="H5" s="2"/>
      <c r="I5" s="3"/>
      <c r="J5" s="3"/>
      <c r="K5" s="3"/>
      <c r="O5" s="3"/>
      <c r="P5" s="3"/>
      <c r="Q5" s="3"/>
      <c r="R5" s="3"/>
      <c r="S5" s="3"/>
      <c r="T5" s="3"/>
      <c r="U5" s="3"/>
      <c r="X5" s="6">
        <v>2</v>
      </c>
      <c r="Y5" s="7" t="s">
        <v>16</v>
      </c>
      <c r="Z5" s="7" t="s">
        <v>17</v>
      </c>
      <c r="AA5" s="7" t="s">
        <v>18</v>
      </c>
      <c r="AB5" s="7" t="s">
        <v>22</v>
      </c>
      <c r="AC5" s="6" t="s">
        <v>20</v>
      </c>
    </row>
    <row r="6" spans="2:29" ht="18.600000000000001" thickBot="1">
      <c r="B6" s="6">
        <v>3</v>
      </c>
      <c r="C6" s="7" t="s">
        <v>23</v>
      </c>
      <c r="D6" s="7" t="s">
        <v>12</v>
      </c>
      <c r="E6" s="7" t="s">
        <v>13</v>
      </c>
      <c r="F6" s="7" t="s">
        <v>14</v>
      </c>
      <c r="G6" s="7" t="s">
        <v>24</v>
      </c>
      <c r="H6" s="2"/>
      <c r="I6" s="3"/>
      <c r="J6" s="3"/>
      <c r="K6" s="3"/>
      <c r="O6" s="3"/>
      <c r="P6" s="3"/>
      <c r="Q6" s="3"/>
      <c r="R6" s="3"/>
      <c r="S6" s="3"/>
      <c r="T6" s="3"/>
      <c r="U6" s="3"/>
      <c r="X6" s="6">
        <v>3</v>
      </c>
      <c r="Y6" s="7" t="s">
        <v>25</v>
      </c>
      <c r="Z6" s="7" t="s">
        <v>17</v>
      </c>
      <c r="AA6" s="7" t="s">
        <v>18</v>
      </c>
      <c r="AB6" s="7" t="s">
        <v>19</v>
      </c>
      <c r="AC6" s="6" t="s">
        <v>26</v>
      </c>
    </row>
    <row r="7" spans="2:29" ht="18.600000000000001" thickBot="1">
      <c r="B7" s="6">
        <v>4</v>
      </c>
      <c r="C7" s="7" t="s">
        <v>27</v>
      </c>
      <c r="D7" s="7" t="s">
        <v>28</v>
      </c>
      <c r="E7" s="7" t="s">
        <v>13</v>
      </c>
      <c r="F7" s="7" t="s">
        <v>14</v>
      </c>
      <c r="G7" s="7" t="s">
        <v>24</v>
      </c>
      <c r="H7" s="2"/>
      <c r="I7" s="3"/>
      <c r="J7" s="3"/>
      <c r="K7" s="3"/>
      <c r="O7" s="3"/>
      <c r="P7" s="3"/>
      <c r="Q7" s="3"/>
      <c r="R7" s="3"/>
      <c r="S7" s="3"/>
      <c r="T7" s="3"/>
      <c r="U7" s="3"/>
      <c r="X7" s="6">
        <v>4</v>
      </c>
      <c r="Y7" s="7" t="s">
        <v>29</v>
      </c>
      <c r="Z7" s="7" t="s">
        <v>30</v>
      </c>
      <c r="AA7" s="7" t="s">
        <v>18</v>
      </c>
      <c r="AB7" s="7" t="s">
        <v>19</v>
      </c>
      <c r="AC7" s="6" t="s">
        <v>26</v>
      </c>
    </row>
    <row r="8" spans="2:29" ht="18.600000000000001" thickBot="1">
      <c r="B8" s="6">
        <v>5</v>
      </c>
      <c r="C8" s="7" t="s">
        <v>27</v>
      </c>
      <c r="D8" s="7" t="s">
        <v>31</v>
      </c>
      <c r="E8" s="7" t="s">
        <v>32</v>
      </c>
      <c r="F8" s="7" t="s">
        <v>14</v>
      </c>
      <c r="G8" s="7" t="s">
        <v>24</v>
      </c>
      <c r="H8" s="2"/>
      <c r="I8" s="3"/>
      <c r="J8" s="3"/>
      <c r="K8" s="3"/>
      <c r="O8" s="3"/>
      <c r="P8" s="3"/>
      <c r="Q8" s="3"/>
      <c r="R8" s="3"/>
      <c r="S8" s="3"/>
      <c r="T8" s="3"/>
      <c r="U8" s="3"/>
      <c r="X8" s="6">
        <v>5</v>
      </c>
      <c r="Y8" s="7" t="s">
        <v>29</v>
      </c>
      <c r="Z8" s="7" t="s">
        <v>33</v>
      </c>
      <c r="AA8" s="7" t="s">
        <v>34</v>
      </c>
      <c r="AB8" s="7" t="s">
        <v>19</v>
      </c>
      <c r="AC8" s="6" t="s">
        <v>26</v>
      </c>
    </row>
    <row r="9" spans="2:29" ht="18.600000000000001" thickBot="1">
      <c r="B9" s="6">
        <v>6</v>
      </c>
      <c r="C9" s="7" t="s">
        <v>27</v>
      </c>
      <c r="D9" s="7" t="s">
        <v>31</v>
      </c>
      <c r="E9" s="7" t="s">
        <v>32</v>
      </c>
      <c r="F9" s="7" t="s">
        <v>21</v>
      </c>
      <c r="G9" s="7" t="s">
        <v>15</v>
      </c>
      <c r="H9" s="2"/>
      <c r="I9" s="3"/>
      <c r="J9" s="3"/>
      <c r="K9" s="3"/>
      <c r="O9" s="3"/>
      <c r="P9" s="3"/>
      <c r="Q9" s="3"/>
      <c r="R9" s="3"/>
      <c r="S9" s="3"/>
      <c r="T9" s="3"/>
      <c r="U9" s="3"/>
      <c r="X9" s="6">
        <v>6</v>
      </c>
      <c r="Y9" s="7" t="s">
        <v>29</v>
      </c>
      <c r="Z9" s="7" t="s">
        <v>33</v>
      </c>
      <c r="AA9" s="7" t="s">
        <v>34</v>
      </c>
      <c r="AB9" s="7" t="s">
        <v>22</v>
      </c>
      <c r="AC9" s="6" t="s">
        <v>20</v>
      </c>
    </row>
    <row r="10" spans="2:29" ht="18.600000000000001" thickBot="1">
      <c r="B10" s="6">
        <v>7</v>
      </c>
      <c r="C10" s="7" t="s">
        <v>23</v>
      </c>
      <c r="D10" s="7" t="s">
        <v>31</v>
      </c>
      <c r="E10" s="7" t="s">
        <v>32</v>
      </c>
      <c r="F10" s="7" t="s">
        <v>21</v>
      </c>
      <c r="G10" s="7" t="s">
        <v>24</v>
      </c>
      <c r="H10" s="2"/>
      <c r="I10" s="8" t="s">
        <v>35</v>
      </c>
      <c r="J10" s="8" t="s">
        <v>36</v>
      </c>
      <c r="K10" s="8" t="s">
        <v>37</v>
      </c>
      <c r="L10" s="9" t="s">
        <v>38</v>
      </c>
      <c r="M10" s="3" t="s">
        <v>39</v>
      </c>
      <c r="N10" s="3" t="s">
        <v>40</v>
      </c>
      <c r="O10" s="3"/>
      <c r="P10" s="3"/>
      <c r="Q10" s="3"/>
      <c r="R10" s="3"/>
      <c r="S10" s="3"/>
      <c r="T10" s="3"/>
      <c r="U10" s="3"/>
      <c r="X10" s="6">
        <v>7</v>
      </c>
      <c r="Y10" s="7" t="s">
        <v>25</v>
      </c>
      <c r="Z10" s="7" t="s">
        <v>33</v>
      </c>
      <c r="AA10" s="7" t="s">
        <v>34</v>
      </c>
      <c r="AB10" s="7" t="s">
        <v>22</v>
      </c>
      <c r="AC10" s="6" t="s">
        <v>26</v>
      </c>
    </row>
    <row r="11" spans="2:29" ht="18.600000000000001" thickBot="1">
      <c r="B11" s="6">
        <v>8</v>
      </c>
      <c r="C11" s="7" t="s">
        <v>11</v>
      </c>
      <c r="D11" s="7" t="s">
        <v>28</v>
      </c>
      <c r="E11" s="7" t="s">
        <v>13</v>
      </c>
      <c r="F11" s="7" t="s">
        <v>14</v>
      </c>
      <c r="G11" s="7" t="s">
        <v>15</v>
      </c>
      <c r="H11" s="2"/>
      <c r="I11" s="3">
        <f>D19</f>
        <v>9</v>
      </c>
      <c r="J11" s="3">
        <f>D20</f>
        <v>5</v>
      </c>
      <c r="K11" s="3">
        <f>I11+J11</f>
        <v>14</v>
      </c>
      <c r="L11" s="3">
        <f>((-I11/K11)*LOG(I11/K11,2)-(J11/K11)*LOG(J11/K11,2))</f>
        <v>0.94028595867063092</v>
      </c>
      <c r="O11" s="3"/>
      <c r="P11" s="3"/>
      <c r="Q11" s="3"/>
      <c r="R11" s="3"/>
      <c r="S11" s="3"/>
      <c r="T11" s="3"/>
      <c r="U11" s="3"/>
      <c r="X11" s="6">
        <v>8</v>
      </c>
      <c r="Y11" s="7" t="s">
        <v>16</v>
      </c>
      <c r="Z11" s="7" t="s">
        <v>30</v>
      </c>
      <c r="AA11" s="7" t="s">
        <v>18</v>
      </c>
      <c r="AB11" s="7" t="s">
        <v>19</v>
      </c>
      <c r="AC11" s="6" t="s">
        <v>20</v>
      </c>
    </row>
    <row r="12" spans="2:29" ht="18.600000000000001" thickBot="1">
      <c r="B12" s="6">
        <v>9</v>
      </c>
      <c r="C12" s="7" t="s">
        <v>11</v>
      </c>
      <c r="D12" s="7" t="s">
        <v>31</v>
      </c>
      <c r="E12" s="7" t="s">
        <v>32</v>
      </c>
      <c r="F12" s="7" t="s">
        <v>14</v>
      </c>
      <c r="G12" s="10" t="s">
        <v>24</v>
      </c>
      <c r="H12" s="11" t="s">
        <v>1</v>
      </c>
      <c r="I12" s="12"/>
      <c r="J12" s="12"/>
      <c r="K12" s="12"/>
      <c r="L12" s="12"/>
      <c r="M12" s="12">
        <f>(K13/$K$11)*L13+(K14/$K$11)*L14+(K15/$K$11)*L15</f>
        <v>0.69353613889619181</v>
      </c>
      <c r="N12" s="13">
        <f>$L$11-M12</f>
        <v>0.24674981977443911</v>
      </c>
      <c r="O12" s="3"/>
      <c r="P12" s="3"/>
      <c r="Q12" s="3"/>
      <c r="R12" s="3"/>
      <c r="S12" s="3"/>
      <c r="T12" s="3"/>
      <c r="U12" s="3"/>
      <c r="X12" s="6">
        <v>9</v>
      </c>
      <c r="Y12" s="7" t="s">
        <v>16</v>
      </c>
      <c r="Z12" s="7" t="s">
        <v>33</v>
      </c>
      <c r="AA12" s="7" t="s">
        <v>34</v>
      </c>
      <c r="AB12" s="7" t="s">
        <v>19</v>
      </c>
      <c r="AC12" s="6" t="s">
        <v>26</v>
      </c>
    </row>
    <row r="13" spans="2:29" ht="18.600000000000001" thickBot="1">
      <c r="B13" s="6">
        <v>10</v>
      </c>
      <c r="C13" s="7" t="s">
        <v>27</v>
      </c>
      <c r="D13" s="7" t="s">
        <v>28</v>
      </c>
      <c r="E13" s="7" t="s">
        <v>32</v>
      </c>
      <c r="F13" s="7" t="s">
        <v>14</v>
      </c>
      <c r="G13" s="10" t="s">
        <v>24</v>
      </c>
      <c r="H13" s="14" t="s">
        <v>11</v>
      </c>
      <c r="I13" s="3">
        <v>2</v>
      </c>
      <c r="J13" s="3">
        <v>3</v>
      </c>
      <c r="K13" s="3">
        <f>I13+J13</f>
        <v>5</v>
      </c>
      <c r="L13" s="3">
        <f>((-I13/K13)*LOG(I13/K13,2)-(J13/K13)*LOG(J13/K13,2))</f>
        <v>0.97095059445466858</v>
      </c>
      <c r="N13" s="15"/>
      <c r="O13" s="3"/>
      <c r="P13" s="3"/>
      <c r="Q13" s="3"/>
      <c r="R13" s="3"/>
      <c r="S13" s="3"/>
      <c r="T13" s="3"/>
      <c r="U13" s="3"/>
      <c r="X13" s="6">
        <v>10</v>
      </c>
      <c r="Y13" s="7" t="s">
        <v>29</v>
      </c>
      <c r="Z13" s="7" t="s">
        <v>30</v>
      </c>
      <c r="AA13" s="7" t="s">
        <v>34</v>
      </c>
      <c r="AB13" s="7" t="s">
        <v>19</v>
      </c>
      <c r="AC13" s="6" t="s">
        <v>26</v>
      </c>
    </row>
    <row r="14" spans="2:29" ht="18.600000000000001" thickBot="1">
      <c r="B14" s="6">
        <v>11</v>
      </c>
      <c r="C14" s="7" t="s">
        <v>11</v>
      </c>
      <c r="D14" s="7" t="s">
        <v>28</v>
      </c>
      <c r="E14" s="7" t="s">
        <v>32</v>
      </c>
      <c r="F14" s="7" t="s">
        <v>21</v>
      </c>
      <c r="G14" s="10" t="s">
        <v>24</v>
      </c>
      <c r="H14" s="14" t="s">
        <v>23</v>
      </c>
      <c r="I14" s="3">
        <v>4</v>
      </c>
      <c r="J14" s="3">
        <v>0</v>
      </c>
      <c r="K14" s="3">
        <f>I14+J14</f>
        <v>4</v>
      </c>
      <c r="L14" s="3">
        <v>0</v>
      </c>
      <c r="N14" s="15"/>
      <c r="O14" s="3"/>
      <c r="P14" s="3"/>
      <c r="Q14" s="3"/>
      <c r="R14" s="3"/>
      <c r="S14" s="3"/>
      <c r="T14" s="3"/>
      <c r="U14" s="3"/>
      <c r="X14" s="6">
        <v>11</v>
      </c>
      <c r="Y14" s="7" t="s">
        <v>16</v>
      </c>
      <c r="Z14" s="7" t="s">
        <v>30</v>
      </c>
      <c r="AA14" s="7" t="s">
        <v>34</v>
      </c>
      <c r="AB14" s="7" t="s">
        <v>22</v>
      </c>
      <c r="AC14" s="6" t="s">
        <v>26</v>
      </c>
    </row>
    <row r="15" spans="2:29" ht="18.600000000000001" thickBot="1">
      <c r="B15" s="6">
        <v>12</v>
      </c>
      <c r="C15" s="7" t="s">
        <v>23</v>
      </c>
      <c r="D15" s="7" t="s">
        <v>28</v>
      </c>
      <c r="E15" s="7" t="s">
        <v>13</v>
      </c>
      <c r="F15" s="7" t="s">
        <v>21</v>
      </c>
      <c r="G15" s="10" t="s">
        <v>24</v>
      </c>
      <c r="H15" s="14" t="s">
        <v>27</v>
      </c>
      <c r="I15" s="3">
        <v>3</v>
      </c>
      <c r="J15" s="3">
        <v>2</v>
      </c>
      <c r="K15" s="3">
        <f>I15+J15</f>
        <v>5</v>
      </c>
      <c r="L15" s="3">
        <f>((-I15/K15)*LOG(I15/K15,2)-(J15/K15)*LOG(J15/K15,2))</f>
        <v>0.97095059445466858</v>
      </c>
      <c r="N15" s="15"/>
      <c r="O15" s="3"/>
      <c r="P15" s="3"/>
      <c r="Q15" s="3"/>
      <c r="R15" s="3"/>
      <c r="S15" s="3"/>
      <c r="T15" s="3"/>
      <c r="U15" s="3"/>
      <c r="X15" s="6">
        <v>12</v>
      </c>
      <c r="Y15" s="7" t="s">
        <v>25</v>
      </c>
      <c r="Z15" s="7" t="s">
        <v>30</v>
      </c>
      <c r="AA15" s="7" t="s">
        <v>18</v>
      </c>
      <c r="AB15" s="7" t="s">
        <v>22</v>
      </c>
      <c r="AC15" s="6" t="s">
        <v>26</v>
      </c>
    </row>
    <row r="16" spans="2:29" ht="18.600000000000001" thickBot="1">
      <c r="B16" s="6">
        <v>13</v>
      </c>
      <c r="C16" s="7" t="s">
        <v>23</v>
      </c>
      <c r="D16" s="7" t="s">
        <v>12</v>
      </c>
      <c r="E16" s="7" t="s">
        <v>32</v>
      </c>
      <c r="F16" s="7" t="s">
        <v>14</v>
      </c>
      <c r="G16" s="10" t="s">
        <v>24</v>
      </c>
      <c r="H16" s="11" t="s">
        <v>2</v>
      </c>
      <c r="I16" s="3"/>
      <c r="J16" s="3"/>
      <c r="K16" s="3"/>
      <c r="M16" s="3">
        <f>(K17/$K$11)*L17+(K18/$K$11)*L18+(K19/$K$11)*L19</f>
        <v>0.91106339301167627</v>
      </c>
      <c r="N16" s="15">
        <f>$L$11-M16</f>
        <v>2.9222565658954647E-2</v>
      </c>
      <c r="O16" s="3"/>
      <c r="P16" s="3"/>
      <c r="Q16" s="3"/>
      <c r="R16" s="3"/>
      <c r="S16" s="3"/>
      <c r="T16" s="3"/>
      <c r="U16" s="3"/>
      <c r="X16" s="6">
        <v>13</v>
      </c>
      <c r="Y16" s="7" t="s">
        <v>25</v>
      </c>
      <c r="Z16" s="7" t="s">
        <v>17</v>
      </c>
      <c r="AA16" s="7" t="s">
        <v>34</v>
      </c>
      <c r="AB16" s="7" t="s">
        <v>19</v>
      </c>
      <c r="AC16" s="6" t="s">
        <v>26</v>
      </c>
    </row>
    <row r="17" spans="2:29" ht="18.600000000000001" thickBot="1">
      <c r="B17" s="6">
        <v>14</v>
      </c>
      <c r="C17" s="7" t="s">
        <v>27</v>
      </c>
      <c r="D17" s="7" t="s">
        <v>28</v>
      </c>
      <c r="E17" s="7" t="s">
        <v>13</v>
      </c>
      <c r="F17" s="7" t="s">
        <v>21</v>
      </c>
      <c r="G17" s="10" t="s">
        <v>15</v>
      </c>
      <c r="H17" s="14" t="s">
        <v>12</v>
      </c>
      <c r="I17" s="3">
        <v>2</v>
      </c>
      <c r="J17" s="3">
        <v>2</v>
      </c>
      <c r="K17" s="3">
        <f>I17+J17</f>
        <v>4</v>
      </c>
      <c r="L17" s="3">
        <f>((-I17/K17)*LOG(I17/K17,2)-(J17/K17)*LOG(J17/K17,2))</f>
        <v>1</v>
      </c>
      <c r="N17" s="15"/>
      <c r="O17" s="3"/>
      <c r="P17" s="3"/>
      <c r="Q17" s="3"/>
      <c r="R17" s="3"/>
      <c r="S17" s="3"/>
      <c r="T17" s="3"/>
      <c r="U17" s="3"/>
      <c r="X17" s="6">
        <v>14</v>
      </c>
      <c r="Y17" s="7" t="s">
        <v>29</v>
      </c>
      <c r="Z17" s="7" t="s">
        <v>30</v>
      </c>
      <c r="AA17" s="7" t="s">
        <v>18</v>
      </c>
      <c r="AB17" s="7" t="s">
        <v>22</v>
      </c>
      <c r="AC17" s="6" t="s">
        <v>20</v>
      </c>
    </row>
    <row r="18" spans="2:29" ht="15" thickBot="1">
      <c r="H18" s="14" t="s">
        <v>28</v>
      </c>
      <c r="I18" s="3">
        <v>4</v>
      </c>
      <c r="J18" s="3">
        <v>2</v>
      </c>
      <c r="K18" s="3">
        <f>I18+J18</f>
        <v>6</v>
      </c>
      <c r="L18" s="3">
        <f>((-I18/K18)*LOG(I18/K18,2)-(J18/K18)*LOG(J18/K18,2))</f>
        <v>0.91829583405448956</v>
      </c>
      <c r="N18" s="15"/>
      <c r="O18" s="3"/>
      <c r="P18" s="3"/>
      <c r="Q18" s="3"/>
      <c r="R18" s="3"/>
      <c r="S18" s="3"/>
      <c r="T18" s="3"/>
      <c r="U18" s="3"/>
    </row>
    <row r="19" spans="2:29" ht="18.600000000000001" thickBot="1">
      <c r="C19" s="16" t="s">
        <v>41</v>
      </c>
      <c r="D19" s="1">
        <f>COUNTIF(G4:G17,"yes")</f>
        <v>9</v>
      </c>
      <c r="H19" s="14" t="s">
        <v>31</v>
      </c>
      <c r="I19" s="3">
        <v>3</v>
      </c>
      <c r="J19" s="3">
        <v>1</v>
      </c>
      <c r="K19" s="3">
        <f>I19+J19</f>
        <v>4</v>
      </c>
      <c r="L19" s="3">
        <f>((-I19/K19)*LOG(I19/K19,2)-(J19/K19)*LOG(J19/K19,2))</f>
        <v>0.81127812445913283</v>
      </c>
      <c r="N19" s="15"/>
      <c r="O19" s="3"/>
      <c r="P19" s="3"/>
      <c r="Q19" s="3"/>
      <c r="R19" s="3"/>
      <c r="S19" s="3"/>
      <c r="T19" s="3"/>
      <c r="U19" s="3"/>
      <c r="X19" s="4" t="s">
        <v>0</v>
      </c>
      <c r="Y19" s="5" t="s">
        <v>6</v>
      </c>
      <c r="Z19" s="5" t="s">
        <v>7</v>
      </c>
      <c r="AA19" s="5" t="s">
        <v>8</v>
      </c>
      <c r="AB19" s="5" t="s">
        <v>9</v>
      </c>
      <c r="AC19" s="4" t="s">
        <v>10</v>
      </c>
    </row>
    <row r="20" spans="2:29" ht="18.600000000000001" thickBot="1">
      <c r="C20" s="16" t="s">
        <v>42</v>
      </c>
      <c r="D20" s="1">
        <f>COUNTIF(G4:G17,"no")</f>
        <v>5</v>
      </c>
      <c r="H20" s="11" t="s">
        <v>3</v>
      </c>
      <c r="I20" s="3"/>
      <c r="J20" s="3"/>
      <c r="K20" s="3"/>
      <c r="M20" s="3">
        <f>(K21/$K$11)*L21+(K22/$K$11)*L22</f>
        <v>0.78845045730828955</v>
      </c>
      <c r="N20" s="15">
        <f>$L$11-M20</f>
        <v>0.15183550136234136</v>
      </c>
      <c r="O20" s="3"/>
      <c r="P20" s="3"/>
      <c r="Q20" s="3"/>
      <c r="R20" s="3"/>
      <c r="S20" s="3"/>
      <c r="T20" s="3"/>
      <c r="U20" s="3"/>
      <c r="X20" s="17">
        <v>1</v>
      </c>
      <c r="Y20" s="18" t="s">
        <v>16</v>
      </c>
      <c r="Z20" s="18" t="s">
        <v>30</v>
      </c>
      <c r="AA20" s="18" t="s">
        <v>34</v>
      </c>
      <c r="AB20" s="18" t="s">
        <v>19</v>
      </c>
      <c r="AC20" s="18" t="s">
        <v>26</v>
      </c>
    </row>
    <row r="21" spans="2:29" ht="18.600000000000001" thickBot="1">
      <c r="C21" s="16" t="s">
        <v>43</v>
      </c>
      <c r="D21" s="1">
        <f>D19+D20</f>
        <v>14</v>
      </c>
      <c r="H21" s="14" t="s">
        <v>13</v>
      </c>
      <c r="I21" s="3">
        <v>3</v>
      </c>
      <c r="J21" s="3">
        <v>4</v>
      </c>
      <c r="K21" s="3">
        <f>I21+J21</f>
        <v>7</v>
      </c>
      <c r="L21" s="3">
        <f>((-I21/K21)*LOG(I21/K21,2)-(J21/K21)*LOG(J21/K21,2))</f>
        <v>0.98522813603425163</v>
      </c>
      <c r="N21" s="15"/>
      <c r="O21" s="3"/>
      <c r="P21" s="3"/>
      <c r="Q21" s="3"/>
      <c r="R21" s="3"/>
      <c r="S21" s="3"/>
      <c r="T21" s="3"/>
      <c r="U21" s="3"/>
      <c r="X21" s="17">
        <v>2</v>
      </c>
      <c r="Y21" s="18" t="s">
        <v>29</v>
      </c>
      <c r="Z21" s="18" t="s">
        <v>17</v>
      </c>
      <c r="AA21" s="18" t="s">
        <v>18</v>
      </c>
      <c r="AB21" s="18" t="s">
        <v>22</v>
      </c>
      <c r="AC21" s="18" t="s">
        <v>20</v>
      </c>
    </row>
    <row r="22" spans="2:29" ht="15" thickBot="1">
      <c r="H22" s="19" t="s">
        <v>32</v>
      </c>
      <c r="I22" s="3">
        <v>6</v>
      </c>
      <c r="J22" s="3">
        <v>1</v>
      </c>
      <c r="K22" s="3">
        <f>I22+J22</f>
        <v>7</v>
      </c>
      <c r="L22" s="3">
        <f>((-I22/K22)*LOG(I22/K22,2)-(J22/K22)*LOG(J22/K22,2))</f>
        <v>0.59167277858232747</v>
      </c>
      <c r="N22" s="15"/>
    </row>
    <row r="23" spans="2:29" ht="15" thickBot="1">
      <c r="H23" s="20" t="s">
        <v>4</v>
      </c>
      <c r="M23" s="3">
        <f>(K24/$K$11)*L24+(K25/$K$11)*L25</f>
        <v>0.89215892826236165</v>
      </c>
      <c r="N23" s="15">
        <f>$L$11-M23</f>
        <v>4.8127030408269267E-2</v>
      </c>
    </row>
    <row r="24" spans="2:29">
      <c r="H24" s="19" t="s">
        <v>21</v>
      </c>
      <c r="I24" s="3">
        <v>3</v>
      </c>
      <c r="J24" s="3">
        <v>3</v>
      </c>
      <c r="K24" s="3">
        <f>I24+J24</f>
        <v>6</v>
      </c>
      <c r="L24" s="3">
        <f>((-I24/K24)*LOG(I24/K24,2)-(J24/K24)*LOG(J24/K24,2))</f>
        <v>1</v>
      </c>
      <c r="N24" s="15"/>
    </row>
    <row r="25" spans="2:29" ht="15" thickBot="1">
      <c r="H25" s="21" t="s">
        <v>14</v>
      </c>
      <c r="I25" s="22">
        <v>6</v>
      </c>
      <c r="J25" s="22">
        <v>2</v>
      </c>
      <c r="K25" s="22">
        <f>I25+J25</f>
        <v>8</v>
      </c>
      <c r="L25" s="22">
        <f>((-I25/K25)*LOG(I25/K25,2)-(J25/K25)*LOG(J25/K25,2))</f>
        <v>0.81127812445913283</v>
      </c>
      <c r="M25" s="22"/>
      <c r="N25" s="23"/>
    </row>
    <row r="27" spans="2:29" ht="18.600000000000001" thickBot="1">
      <c r="I27" s="8" t="s">
        <v>35</v>
      </c>
      <c r="J27" s="8" t="s">
        <v>36</v>
      </c>
      <c r="K27" s="8" t="s">
        <v>37</v>
      </c>
      <c r="L27" s="9" t="s">
        <v>38</v>
      </c>
      <c r="M27" s="3" t="s">
        <v>39</v>
      </c>
      <c r="N27" s="3" t="s">
        <v>40</v>
      </c>
    </row>
    <row r="28" spans="2:29" ht="18.600000000000001" thickBot="1">
      <c r="B28" s="4" t="s">
        <v>0</v>
      </c>
      <c r="C28" s="5" t="s">
        <v>1</v>
      </c>
      <c r="D28" s="5" t="s">
        <v>2</v>
      </c>
      <c r="E28" s="5" t="s">
        <v>3</v>
      </c>
      <c r="F28" s="5" t="s">
        <v>4</v>
      </c>
      <c r="G28" s="25" t="s">
        <v>5</v>
      </c>
      <c r="H28" s="20" t="s">
        <v>44</v>
      </c>
      <c r="I28" s="26"/>
      <c r="J28" s="26"/>
      <c r="K28" s="26"/>
      <c r="L28" s="12"/>
      <c r="M28" s="12">
        <f>(K29/$K$11)*L29+(K30/$K$11)*L30+(K31/$K$11)*L31</f>
        <v>0.14285714285714285</v>
      </c>
      <c r="N28" s="27">
        <f>$L$11-M28</f>
        <v>0.79742881581348812</v>
      </c>
    </row>
    <row r="29" spans="2:29" ht="18.600000000000001" thickBot="1">
      <c r="B29" s="6">
        <v>1</v>
      </c>
      <c r="C29" s="7" t="s">
        <v>11</v>
      </c>
      <c r="D29" s="7" t="s">
        <v>12</v>
      </c>
      <c r="E29" s="7" t="s">
        <v>13</v>
      </c>
      <c r="F29" s="7" t="s">
        <v>14</v>
      </c>
      <c r="G29" s="10" t="s">
        <v>15</v>
      </c>
      <c r="H29" s="19" t="s">
        <v>12</v>
      </c>
      <c r="I29" s="3">
        <v>0</v>
      </c>
      <c r="J29" s="3">
        <v>2</v>
      </c>
      <c r="K29" s="3">
        <f>I29+J29</f>
        <v>2</v>
      </c>
      <c r="L29" s="3">
        <v>0</v>
      </c>
      <c r="N29" s="15"/>
    </row>
    <row r="30" spans="2:29" ht="18.600000000000001" thickBot="1">
      <c r="B30" s="6">
        <v>2</v>
      </c>
      <c r="C30" s="7" t="s">
        <v>11</v>
      </c>
      <c r="D30" s="7" t="s">
        <v>12</v>
      </c>
      <c r="E30" s="7" t="s">
        <v>13</v>
      </c>
      <c r="F30" s="7" t="s">
        <v>21</v>
      </c>
      <c r="G30" s="10" t="s">
        <v>15</v>
      </c>
      <c r="H30" s="14" t="s">
        <v>28</v>
      </c>
      <c r="I30" s="3">
        <v>1</v>
      </c>
      <c r="J30" s="3">
        <v>1</v>
      </c>
      <c r="K30" s="3">
        <f>I30+J30</f>
        <v>2</v>
      </c>
      <c r="L30" s="3">
        <f>((-I30/K30)*LOG(I30/K30,2)-(J30/K30)*LOG(J30/K30,2))</f>
        <v>1</v>
      </c>
      <c r="N30" s="15"/>
    </row>
    <row r="31" spans="2:29" ht="18.600000000000001" thickBot="1">
      <c r="B31" s="6">
        <v>8</v>
      </c>
      <c r="C31" s="7" t="s">
        <v>11</v>
      </c>
      <c r="D31" s="7" t="s">
        <v>28</v>
      </c>
      <c r="E31" s="7" t="s">
        <v>13</v>
      </c>
      <c r="F31" s="7" t="s">
        <v>14</v>
      </c>
      <c r="G31" s="10" t="s">
        <v>15</v>
      </c>
      <c r="H31" s="14" t="s">
        <v>31</v>
      </c>
      <c r="I31" s="3">
        <v>1</v>
      </c>
      <c r="J31" s="3">
        <v>0</v>
      </c>
      <c r="K31" s="3">
        <f t="shared" ref="K31:K34" si="0">I31+J31</f>
        <v>1</v>
      </c>
      <c r="L31" s="3">
        <v>0</v>
      </c>
      <c r="N31" s="15"/>
    </row>
    <row r="32" spans="2:29" ht="18.600000000000001" thickBot="1">
      <c r="B32" s="6">
        <v>9</v>
      </c>
      <c r="C32" s="7" t="s">
        <v>11</v>
      </c>
      <c r="D32" s="7" t="s">
        <v>31</v>
      </c>
      <c r="E32" s="7" t="s">
        <v>32</v>
      </c>
      <c r="F32" s="7" t="s">
        <v>14</v>
      </c>
      <c r="G32" s="10" t="s">
        <v>24</v>
      </c>
      <c r="H32" s="20" t="s">
        <v>45</v>
      </c>
      <c r="M32" s="3">
        <f>(K33/$K$11)*L33+(K34/$K$11)*L34</f>
        <v>0</v>
      </c>
      <c r="N32" s="28">
        <f>$L$11-M32</f>
        <v>0.94028595867063092</v>
      </c>
    </row>
    <row r="33" spans="2:14" ht="18.600000000000001" thickBot="1">
      <c r="B33" s="6">
        <v>11</v>
      </c>
      <c r="C33" s="7" t="s">
        <v>11</v>
      </c>
      <c r="D33" s="7" t="s">
        <v>28</v>
      </c>
      <c r="E33" s="7" t="s">
        <v>32</v>
      </c>
      <c r="F33" s="7" t="s">
        <v>21</v>
      </c>
      <c r="G33" s="10" t="s">
        <v>24</v>
      </c>
      <c r="H33" s="14" t="s">
        <v>13</v>
      </c>
      <c r="I33" s="3">
        <v>0</v>
      </c>
      <c r="J33" s="3">
        <v>3</v>
      </c>
      <c r="K33" s="3">
        <f t="shared" si="0"/>
        <v>3</v>
      </c>
      <c r="L33" s="3">
        <v>0</v>
      </c>
      <c r="N33" s="15"/>
    </row>
    <row r="34" spans="2:14" ht="15" thickBot="1">
      <c r="H34" s="19" t="s">
        <v>32</v>
      </c>
      <c r="I34" s="3">
        <v>2</v>
      </c>
      <c r="J34" s="3">
        <v>0</v>
      </c>
      <c r="K34" s="3">
        <f t="shared" si="0"/>
        <v>2</v>
      </c>
      <c r="L34" s="3">
        <v>0</v>
      </c>
      <c r="N34" s="15"/>
    </row>
    <row r="35" spans="2:14" ht="15" thickBot="1">
      <c r="H35" s="20" t="s">
        <v>46</v>
      </c>
      <c r="M35" s="3">
        <f>(K36/$K$11)*L36+(K37/$K$11)*L37</f>
        <v>0.33963482158310487</v>
      </c>
      <c r="N35" s="15">
        <f>$L$11-M35</f>
        <v>0.60065113708752604</v>
      </c>
    </row>
    <row r="36" spans="2:14">
      <c r="H36" s="19" t="s">
        <v>21</v>
      </c>
      <c r="I36" s="3">
        <v>1</v>
      </c>
      <c r="J36" s="3">
        <v>1</v>
      </c>
      <c r="K36" s="3">
        <f t="shared" ref="K36" si="1">I36+J36</f>
        <v>2</v>
      </c>
      <c r="L36" s="3">
        <f t="shared" ref="L36:L37" si="2">((-I36/K36)*LOG(I36/K36,2)-(J36/K36)*LOG(J36/K36,2))</f>
        <v>1</v>
      </c>
      <c r="N36" s="15"/>
    </row>
    <row r="37" spans="2:14" ht="15" thickBot="1">
      <c r="H37" s="21" t="s">
        <v>14</v>
      </c>
      <c r="I37" s="22">
        <v>1</v>
      </c>
      <c r="J37" s="22">
        <v>2</v>
      </c>
      <c r="K37" s="22">
        <f>I37+J37</f>
        <v>3</v>
      </c>
      <c r="L37" s="22">
        <f t="shared" si="2"/>
        <v>0.91829583405448956</v>
      </c>
      <c r="M37" s="22"/>
      <c r="N37" s="23"/>
    </row>
    <row r="38" spans="2:14" ht="15" thickBot="1"/>
    <row r="39" spans="2:14" ht="18.600000000000001" thickBot="1">
      <c r="B39" s="4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</row>
    <row r="40" spans="2:14" ht="18.600000000000001" thickBot="1">
      <c r="B40" s="6">
        <v>3</v>
      </c>
      <c r="C40" s="7" t="s">
        <v>23</v>
      </c>
      <c r="D40" s="7" t="s">
        <v>12</v>
      </c>
      <c r="E40" s="7" t="s">
        <v>13</v>
      </c>
      <c r="F40" s="7" t="s">
        <v>14</v>
      </c>
      <c r="G40" s="7" t="s">
        <v>24</v>
      </c>
    </row>
    <row r="41" spans="2:14" ht="18.600000000000001" thickBot="1">
      <c r="B41" s="6">
        <v>7</v>
      </c>
      <c r="C41" s="7" t="s">
        <v>23</v>
      </c>
      <c r="D41" s="7" t="s">
        <v>31</v>
      </c>
      <c r="E41" s="7" t="s">
        <v>32</v>
      </c>
      <c r="F41" s="7" t="s">
        <v>21</v>
      </c>
      <c r="G41" s="7" t="s">
        <v>24</v>
      </c>
    </row>
    <row r="42" spans="2:14" ht="18.600000000000001" thickBot="1">
      <c r="B42" s="6">
        <v>12</v>
      </c>
      <c r="C42" s="7" t="s">
        <v>23</v>
      </c>
      <c r="D42" s="7" t="s">
        <v>28</v>
      </c>
      <c r="E42" s="7" t="s">
        <v>13</v>
      </c>
      <c r="F42" s="7" t="s">
        <v>21</v>
      </c>
      <c r="G42" s="7" t="s">
        <v>24</v>
      </c>
    </row>
    <row r="43" spans="2:14" ht="18.600000000000001" thickBot="1">
      <c r="B43" s="6">
        <v>13</v>
      </c>
      <c r="C43" s="7" t="s">
        <v>23</v>
      </c>
      <c r="D43" s="7" t="s">
        <v>12</v>
      </c>
      <c r="E43" s="7" t="s">
        <v>32</v>
      </c>
      <c r="F43" s="7" t="s">
        <v>14</v>
      </c>
      <c r="G43" s="7" t="s">
        <v>24</v>
      </c>
    </row>
    <row r="44" spans="2:14" ht="18.600000000000001" thickBot="1">
      <c r="I44" s="8" t="s">
        <v>35</v>
      </c>
      <c r="J44" s="8" t="s">
        <v>36</v>
      </c>
      <c r="K44" s="8" t="s">
        <v>37</v>
      </c>
      <c r="L44" s="9" t="s">
        <v>38</v>
      </c>
      <c r="M44" s="3" t="s">
        <v>39</v>
      </c>
      <c r="N44" s="3" t="s">
        <v>40</v>
      </c>
    </row>
    <row r="45" spans="2:14" ht="18.600000000000001" thickBot="1">
      <c r="B45" s="4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25" t="s">
        <v>5</v>
      </c>
      <c r="H45" s="20" t="s">
        <v>47</v>
      </c>
      <c r="I45" s="26"/>
      <c r="J45" s="26"/>
      <c r="K45" s="26"/>
      <c r="L45" s="12"/>
      <c r="M45" s="12">
        <f>(K46/$K$11)*L46+(K47/$K$11)*L47</f>
        <v>0.33963482158310487</v>
      </c>
      <c r="N45" s="27">
        <f>$L$11-M45</f>
        <v>0.60065113708752604</v>
      </c>
    </row>
    <row r="46" spans="2:14" ht="18.600000000000001" thickBot="1">
      <c r="B46" s="6">
        <v>4</v>
      </c>
      <c r="C46" s="7" t="s">
        <v>27</v>
      </c>
      <c r="D46" s="7" t="s">
        <v>28</v>
      </c>
      <c r="E46" s="7" t="s">
        <v>13</v>
      </c>
      <c r="F46" s="7" t="s">
        <v>14</v>
      </c>
      <c r="G46" s="10" t="s">
        <v>24</v>
      </c>
      <c r="H46" s="14" t="s">
        <v>28</v>
      </c>
      <c r="I46" s="1">
        <v>2</v>
      </c>
      <c r="J46" s="1">
        <v>1</v>
      </c>
      <c r="K46" s="3">
        <f t="shared" ref="K46:K47" si="3">I46+J46</f>
        <v>3</v>
      </c>
      <c r="L46" s="3">
        <f t="shared" ref="L46:L47" si="4">((-I46/K46)*LOG(I46/K46,2)-(J46/K46)*LOG(J46/K46,2))</f>
        <v>0.91829583405448956</v>
      </c>
      <c r="N46" s="15"/>
    </row>
    <row r="47" spans="2:14" ht="18.600000000000001" thickBot="1">
      <c r="B47" s="6">
        <v>5</v>
      </c>
      <c r="C47" s="7" t="s">
        <v>27</v>
      </c>
      <c r="D47" s="7" t="s">
        <v>31</v>
      </c>
      <c r="E47" s="7" t="s">
        <v>32</v>
      </c>
      <c r="F47" s="7" t="s">
        <v>14</v>
      </c>
      <c r="G47" s="10" t="s">
        <v>24</v>
      </c>
      <c r="H47" s="14" t="s">
        <v>31</v>
      </c>
      <c r="I47" s="1">
        <v>1</v>
      </c>
      <c r="J47" s="1">
        <v>1</v>
      </c>
      <c r="K47" s="3">
        <f t="shared" si="3"/>
        <v>2</v>
      </c>
      <c r="L47" s="3">
        <f t="shared" si="4"/>
        <v>1</v>
      </c>
      <c r="N47" s="15"/>
    </row>
    <row r="48" spans="2:14" ht="18.600000000000001" thickBot="1">
      <c r="B48" s="6">
        <v>6</v>
      </c>
      <c r="C48" s="7" t="s">
        <v>27</v>
      </c>
      <c r="D48" s="7" t="s">
        <v>31</v>
      </c>
      <c r="E48" s="7" t="s">
        <v>32</v>
      </c>
      <c r="F48" s="7" t="s">
        <v>21</v>
      </c>
      <c r="G48" s="10" t="s">
        <v>15</v>
      </c>
      <c r="H48" s="20" t="s">
        <v>48</v>
      </c>
      <c r="M48" s="3">
        <f>(K49/$K$11)*L49+(K50/$K$11)*L50</f>
        <v>0.33963482158310487</v>
      </c>
      <c r="N48" s="15">
        <f>$L$11-M48</f>
        <v>0.60065113708752604</v>
      </c>
    </row>
    <row r="49" spans="2:22" ht="18.600000000000001" thickBot="1">
      <c r="B49" s="6">
        <v>10</v>
      </c>
      <c r="C49" s="7" t="s">
        <v>27</v>
      </c>
      <c r="D49" s="7" t="s">
        <v>28</v>
      </c>
      <c r="E49" s="7" t="s">
        <v>32</v>
      </c>
      <c r="F49" s="7" t="s">
        <v>14</v>
      </c>
      <c r="G49" s="10" t="s">
        <v>24</v>
      </c>
      <c r="H49" s="19" t="s">
        <v>13</v>
      </c>
      <c r="I49" s="1">
        <v>1</v>
      </c>
      <c r="J49" s="1">
        <v>1</v>
      </c>
      <c r="K49" s="3">
        <f t="shared" ref="K49:K53" si="5">I49+J49</f>
        <v>2</v>
      </c>
      <c r="L49" s="3">
        <f t="shared" ref="L49:L50" si="6">((-I49/K49)*LOG(I49/K49,2)-(J49/K49)*LOG(J49/K49,2))</f>
        <v>1</v>
      </c>
      <c r="N49" s="15"/>
    </row>
    <row r="50" spans="2:22" ht="18.600000000000001" thickBot="1">
      <c r="B50" s="6">
        <v>14</v>
      </c>
      <c r="C50" s="7" t="s">
        <v>27</v>
      </c>
      <c r="D50" s="7" t="s">
        <v>28</v>
      </c>
      <c r="E50" s="7" t="s">
        <v>13</v>
      </c>
      <c r="F50" s="7" t="s">
        <v>21</v>
      </c>
      <c r="G50" s="10" t="s">
        <v>15</v>
      </c>
      <c r="H50" s="19" t="s">
        <v>32</v>
      </c>
      <c r="I50" s="1">
        <v>2</v>
      </c>
      <c r="J50" s="1">
        <v>1</v>
      </c>
      <c r="K50" s="3">
        <f t="shared" si="5"/>
        <v>3</v>
      </c>
      <c r="L50" s="3">
        <f t="shared" si="6"/>
        <v>0.91829583405448956</v>
      </c>
      <c r="N50" s="15"/>
    </row>
    <row r="51" spans="2:22" ht="15" thickBot="1">
      <c r="H51" s="20" t="s">
        <v>49</v>
      </c>
      <c r="M51" s="3">
        <f>(K52/$K$11)*L52+(K53/$K$11)*L53</f>
        <v>0</v>
      </c>
      <c r="N51" s="28">
        <f>$L$11-M51</f>
        <v>0.94028595867063092</v>
      </c>
    </row>
    <row r="52" spans="2:22">
      <c r="H52" s="19" t="s">
        <v>21</v>
      </c>
      <c r="I52" s="1">
        <v>0</v>
      </c>
      <c r="J52" s="1">
        <v>2</v>
      </c>
      <c r="K52" s="3">
        <f t="shared" si="5"/>
        <v>2</v>
      </c>
      <c r="L52" s="3">
        <v>0</v>
      </c>
      <c r="N52" s="15"/>
    </row>
    <row r="53" spans="2:22" ht="15" thickBot="1">
      <c r="H53" s="21" t="s">
        <v>14</v>
      </c>
      <c r="I53" s="29">
        <v>3</v>
      </c>
      <c r="J53" s="29">
        <v>0</v>
      </c>
      <c r="K53" s="22">
        <f t="shared" si="5"/>
        <v>3</v>
      </c>
      <c r="L53" s="22">
        <v>0</v>
      </c>
      <c r="M53" s="22"/>
      <c r="N53" s="23"/>
    </row>
    <row r="56" spans="2:22">
      <c r="H56" s="24" t="s">
        <v>50</v>
      </c>
    </row>
    <row r="57" spans="2:22">
      <c r="H57" s="24" t="s">
        <v>51</v>
      </c>
      <c r="I57" s="1">
        <v>243</v>
      </c>
      <c r="T57" s="30" t="s">
        <v>52</v>
      </c>
      <c r="U57" s="30" t="s">
        <v>53</v>
      </c>
      <c r="V57" s="30" t="s">
        <v>54</v>
      </c>
    </row>
    <row r="58" spans="2:22" ht="27.6">
      <c r="H58" s="24" t="s">
        <v>55</v>
      </c>
      <c r="I58" s="1">
        <v>89</v>
      </c>
      <c r="T58" s="31" t="s">
        <v>56</v>
      </c>
      <c r="U58" s="31" t="s">
        <v>57</v>
      </c>
      <c r="V58" s="31" t="s">
        <v>58</v>
      </c>
    </row>
    <row r="59" spans="2:22" ht="27.6">
      <c r="H59" s="24" t="s">
        <v>59</v>
      </c>
      <c r="I59" s="1">
        <f>SUM(I57:I58)</f>
        <v>332</v>
      </c>
      <c r="T59" s="32" t="s">
        <v>60</v>
      </c>
      <c r="U59" s="32" t="s">
        <v>61</v>
      </c>
      <c r="V59" s="32" t="s">
        <v>62</v>
      </c>
    </row>
    <row r="60" spans="2:22">
      <c r="H60" s="24" t="s">
        <v>50</v>
      </c>
      <c r="I60" s="1">
        <f>1 - ((I57/I59)^2+(I58/I59)^2)</f>
        <v>0.39241907388590502</v>
      </c>
    </row>
    <row r="61" spans="2:22">
      <c r="H61" s="297" t="s">
        <v>63</v>
      </c>
      <c r="I61" s="297"/>
      <c r="T61" s="1" t="s">
        <v>64</v>
      </c>
    </row>
    <row r="62" spans="2:22" ht="15.6">
      <c r="T62" s="33" t="s">
        <v>65</v>
      </c>
    </row>
    <row r="63" spans="2:22" ht="16.2" thickBot="1">
      <c r="T63" s="33" t="s">
        <v>66</v>
      </c>
    </row>
    <row r="64" spans="2:22" ht="18.600000000000001" thickBot="1">
      <c r="B64" s="34" t="s">
        <v>67</v>
      </c>
      <c r="C64" s="35" t="s">
        <v>1</v>
      </c>
      <c r="D64" s="35" t="s">
        <v>2</v>
      </c>
      <c r="E64" s="35" t="s">
        <v>3</v>
      </c>
      <c r="F64" s="35" t="s">
        <v>4</v>
      </c>
      <c r="G64" s="35" t="s">
        <v>5</v>
      </c>
      <c r="T64" s="33" t="s">
        <v>68</v>
      </c>
    </row>
    <row r="65" spans="2:7" ht="18.600000000000001" thickBot="1">
      <c r="B65" s="17">
        <v>1</v>
      </c>
      <c r="C65" s="18" t="s">
        <v>11</v>
      </c>
      <c r="D65" s="18" t="s">
        <v>28</v>
      </c>
      <c r="E65" s="18" t="s">
        <v>32</v>
      </c>
      <c r="F65" s="18" t="s">
        <v>14</v>
      </c>
      <c r="G65" s="18" t="s">
        <v>24</v>
      </c>
    </row>
    <row r="66" spans="2:7" ht="18.600000000000001" thickBot="1">
      <c r="B66" s="17">
        <v>2</v>
      </c>
      <c r="C66" s="18" t="s">
        <v>27</v>
      </c>
      <c r="D66" s="18" t="s">
        <v>12</v>
      </c>
      <c r="E66" s="18" t="s">
        <v>13</v>
      </c>
      <c r="F66" s="18" t="s">
        <v>21</v>
      </c>
      <c r="G66" s="18" t="s">
        <v>15</v>
      </c>
    </row>
  </sheetData>
  <mergeCells count="1">
    <mergeCell ref="H61:I61"/>
  </mergeCells>
  <conditionalFormatting sqref="X4:AC17">
    <cfRule type="expression" dxfId="6" priority="1">
      <formula>$AC4="No - 0"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7768-4136-4AA2-ACBE-6B17008BC946}">
  <dimension ref="A1:M18"/>
  <sheetViews>
    <sheetView zoomScale="130" zoomScaleNormal="130" workbookViewId="0"/>
  </sheetViews>
  <sheetFormatPr defaultColWidth="8.88671875" defaultRowHeight="14.4"/>
  <cols>
    <col min="1" max="1" width="3.77734375" style="1" bestFit="1" customWidth="1"/>
    <col min="2" max="2" width="13.109375" style="1" bestFit="1" customWidth="1"/>
    <col min="3" max="3" width="12.44140625" style="1" bestFit="1" customWidth="1"/>
    <col min="4" max="4" width="9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7" t="s">
        <v>69</v>
      </c>
      <c r="B1" s="37" t="s">
        <v>70</v>
      </c>
      <c r="C1" s="38" t="s">
        <v>71</v>
      </c>
      <c r="D1" s="63" t="s">
        <v>72</v>
      </c>
      <c r="E1" s="64" t="s">
        <v>73</v>
      </c>
      <c r="F1" s="65" t="s">
        <v>74</v>
      </c>
      <c r="G1" s="66" t="s">
        <v>75</v>
      </c>
      <c r="H1" s="67" t="s">
        <v>74</v>
      </c>
      <c r="J1" s="298" t="s">
        <v>76</v>
      </c>
      <c r="K1" s="298"/>
      <c r="L1" s="298"/>
    </row>
    <row r="2" spans="1:13">
      <c r="A2" s="251">
        <v>1</v>
      </c>
      <c r="B2" s="252">
        <v>5.0999999999999996</v>
      </c>
      <c r="C2" s="81">
        <v>3.5</v>
      </c>
      <c r="D2" s="82" t="s">
        <v>77</v>
      </c>
      <c r="E2" s="83">
        <f>SQRT((B2-$J$3)^2+(C2-$K$3)^2)</f>
        <v>0.81394102980498517</v>
      </c>
      <c r="F2" s="253">
        <f>RANK(E2,$E$2:$E$16,1)</f>
        <v>8</v>
      </c>
      <c r="G2" s="252">
        <f>ABS(B2-$J$3)+ABS(C2-$K$3)</f>
        <v>0.95000000000000018</v>
      </c>
      <c r="H2" s="84">
        <f>RANK(G2,$G$2:$G$16,1)</f>
        <v>6</v>
      </c>
      <c r="J2" s="48" t="s">
        <v>70</v>
      </c>
      <c r="K2" s="48" t="s">
        <v>71</v>
      </c>
      <c r="L2" s="48" t="s">
        <v>72</v>
      </c>
    </row>
    <row r="3" spans="1:13">
      <c r="A3" s="69">
        <v>2</v>
      </c>
      <c r="B3" s="50">
        <v>4.9000000000000004</v>
      </c>
      <c r="C3" s="51">
        <v>3</v>
      </c>
      <c r="D3" s="70" t="s">
        <v>77</v>
      </c>
      <c r="E3" s="71">
        <f t="shared" ref="E3:E16" si="0">SQRT((B3-$J$3)^2+(C3-$K$3)^2)</f>
        <v>0.46097722286464399</v>
      </c>
      <c r="F3" s="54">
        <f t="shared" ref="F3:F16" si="1">RANK(E3,$E$2:$E$16,1)</f>
        <v>1</v>
      </c>
      <c r="G3" s="50">
        <f t="shared" ref="G3:G16" si="2">ABS(B3-$J$3)+ABS(C3-$K$3)</f>
        <v>0.64999999999999947</v>
      </c>
      <c r="H3" s="45">
        <f t="shared" ref="H3:H16" si="3">RANK(G3,$G$2:$G$16,1)</f>
        <v>2</v>
      </c>
      <c r="J3" s="1">
        <v>5.25</v>
      </c>
      <c r="K3" s="55">
        <v>2.7</v>
      </c>
      <c r="L3" s="56" t="s">
        <v>80</v>
      </c>
      <c r="M3" s="48" t="s">
        <v>79</v>
      </c>
    </row>
    <row r="4" spans="1:13">
      <c r="A4" s="69">
        <v>3</v>
      </c>
      <c r="B4" s="50">
        <v>4.7</v>
      </c>
      <c r="C4" s="51">
        <v>3.2</v>
      </c>
      <c r="D4" s="70" t="s">
        <v>77</v>
      </c>
      <c r="E4" s="71">
        <f t="shared" si="0"/>
        <v>0.74330343736592508</v>
      </c>
      <c r="F4" s="54">
        <f t="shared" si="1"/>
        <v>6</v>
      </c>
      <c r="G4" s="50">
        <f t="shared" si="2"/>
        <v>1.0499999999999998</v>
      </c>
      <c r="H4" s="45">
        <f t="shared" si="3"/>
        <v>7</v>
      </c>
    </row>
    <row r="5" spans="1:13">
      <c r="A5" s="69">
        <v>4</v>
      </c>
      <c r="B5" s="50">
        <v>4.5999999999999996</v>
      </c>
      <c r="C5" s="51">
        <v>3.1</v>
      </c>
      <c r="D5" s="70" t="s">
        <v>77</v>
      </c>
      <c r="E5" s="71">
        <f t="shared" si="0"/>
        <v>0.76321687612368772</v>
      </c>
      <c r="F5" s="54">
        <f t="shared" si="1"/>
        <v>7</v>
      </c>
      <c r="G5" s="50">
        <f t="shared" si="2"/>
        <v>1.0500000000000003</v>
      </c>
      <c r="H5" s="45">
        <f t="shared" si="3"/>
        <v>8</v>
      </c>
    </row>
    <row r="6" spans="1:13">
      <c r="A6" s="69">
        <v>5</v>
      </c>
      <c r="B6" s="50">
        <v>5</v>
      </c>
      <c r="C6" s="51">
        <v>3.6</v>
      </c>
      <c r="D6" s="70" t="s">
        <v>77</v>
      </c>
      <c r="E6" s="71">
        <f t="shared" si="0"/>
        <v>0.93407708461347017</v>
      </c>
      <c r="F6" s="54">
        <f t="shared" si="1"/>
        <v>9</v>
      </c>
      <c r="G6" s="50">
        <f t="shared" si="2"/>
        <v>1.1499999999999999</v>
      </c>
      <c r="H6" s="45">
        <f t="shared" si="3"/>
        <v>9</v>
      </c>
    </row>
    <row r="7" spans="1:13">
      <c r="A7" s="69">
        <v>6</v>
      </c>
      <c r="B7" s="50">
        <v>5.5</v>
      </c>
      <c r="C7" s="51">
        <v>2.2999999999999998</v>
      </c>
      <c r="D7" s="70" t="s">
        <v>80</v>
      </c>
      <c r="E7" s="71">
        <f t="shared" si="0"/>
        <v>0.47169905660283051</v>
      </c>
      <c r="F7" s="54">
        <f t="shared" si="1"/>
        <v>4</v>
      </c>
      <c r="G7" s="50">
        <f t="shared" si="2"/>
        <v>0.65000000000000036</v>
      </c>
      <c r="H7" s="45">
        <f t="shared" si="3"/>
        <v>4</v>
      </c>
    </row>
    <row r="8" spans="1:13">
      <c r="A8" s="69">
        <v>7</v>
      </c>
      <c r="B8" s="50">
        <v>6.5</v>
      </c>
      <c r="C8" s="51">
        <v>2.8</v>
      </c>
      <c r="D8" s="70" t="s">
        <v>80</v>
      </c>
      <c r="E8" s="71">
        <f t="shared" si="0"/>
        <v>1.2539936203984452</v>
      </c>
      <c r="F8" s="54">
        <f t="shared" si="1"/>
        <v>12</v>
      </c>
      <c r="G8" s="50">
        <f t="shared" si="2"/>
        <v>1.3499999999999996</v>
      </c>
      <c r="H8" s="45">
        <f t="shared" si="3"/>
        <v>11</v>
      </c>
    </row>
    <row r="9" spans="1:13">
      <c r="A9" s="69">
        <v>8</v>
      </c>
      <c r="B9" s="50">
        <v>5.7</v>
      </c>
      <c r="C9" s="51">
        <v>2.8</v>
      </c>
      <c r="D9" s="70" t="s">
        <v>80</v>
      </c>
      <c r="E9" s="71">
        <f t="shared" si="0"/>
        <v>0.46097722286464443</v>
      </c>
      <c r="F9" s="54">
        <f t="shared" si="1"/>
        <v>3</v>
      </c>
      <c r="G9" s="50">
        <f t="shared" si="2"/>
        <v>0.54999999999999982</v>
      </c>
      <c r="H9" s="45">
        <f t="shared" si="3"/>
        <v>1</v>
      </c>
    </row>
    <row r="10" spans="1:13">
      <c r="A10" s="69">
        <v>9</v>
      </c>
      <c r="B10" s="50">
        <v>6.3</v>
      </c>
      <c r="C10" s="51">
        <v>3.3</v>
      </c>
      <c r="D10" s="70" t="s">
        <v>80</v>
      </c>
      <c r="E10" s="71">
        <f t="shared" si="0"/>
        <v>1.2093386622447821</v>
      </c>
      <c r="F10" s="54">
        <f t="shared" si="1"/>
        <v>11</v>
      </c>
      <c r="G10" s="50">
        <f t="shared" si="2"/>
        <v>1.6499999999999995</v>
      </c>
      <c r="H10" s="45">
        <f t="shared" si="3"/>
        <v>12</v>
      </c>
    </row>
    <row r="11" spans="1:13">
      <c r="A11" s="69">
        <v>10</v>
      </c>
      <c r="B11" s="50">
        <v>4.9000000000000004</v>
      </c>
      <c r="C11" s="51">
        <v>2.4</v>
      </c>
      <c r="D11" s="70" t="s">
        <v>80</v>
      </c>
      <c r="E11" s="71">
        <f t="shared" si="0"/>
        <v>0.46097722286464426</v>
      </c>
      <c r="F11" s="54">
        <f t="shared" si="1"/>
        <v>2</v>
      </c>
      <c r="G11" s="50">
        <f t="shared" si="2"/>
        <v>0.64999999999999991</v>
      </c>
      <c r="H11" s="45">
        <f t="shared" si="3"/>
        <v>3</v>
      </c>
    </row>
    <row r="12" spans="1:13">
      <c r="A12" s="69">
        <v>11</v>
      </c>
      <c r="B12" s="50">
        <v>7.2</v>
      </c>
      <c r="C12" s="51">
        <v>3.6</v>
      </c>
      <c r="D12" s="70" t="s">
        <v>81</v>
      </c>
      <c r="E12" s="71">
        <f t="shared" si="0"/>
        <v>2.1476731594914531</v>
      </c>
      <c r="F12" s="54">
        <f t="shared" si="1"/>
        <v>15</v>
      </c>
      <c r="G12" s="50">
        <f t="shared" si="2"/>
        <v>2.85</v>
      </c>
      <c r="H12" s="45">
        <f t="shared" si="3"/>
        <v>15</v>
      </c>
    </row>
    <row r="13" spans="1:13">
      <c r="A13" s="69">
        <v>12</v>
      </c>
      <c r="B13" s="50">
        <v>6.5</v>
      </c>
      <c r="C13" s="51">
        <v>3.2</v>
      </c>
      <c r="D13" s="70" t="s">
        <v>81</v>
      </c>
      <c r="E13" s="71">
        <f t="shared" si="0"/>
        <v>1.3462912017836259</v>
      </c>
      <c r="F13" s="54">
        <f t="shared" si="1"/>
        <v>13</v>
      </c>
      <c r="G13" s="50">
        <f t="shared" si="2"/>
        <v>1.75</v>
      </c>
      <c r="H13" s="45">
        <f t="shared" si="3"/>
        <v>13</v>
      </c>
    </row>
    <row r="14" spans="1:13">
      <c r="A14" s="69">
        <v>13</v>
      </c>
      <c r="B14" s="50">
        <v>6.4</v>
      </c>
      <c r="C14" s="51">
        <v>2.7</v>
      </c>
      <c r="D14" s="70" t="s">
        <v>81</v>
      </c>
      <c r="E14" s="71">
        <f t="shared" si="0"/>
        <v>1.1500000000000004</v>
      </c>
      <c r="F14" s="54">
        <f t="shared" si="1"/>
        <v>10</v>
      </c>
      <c r="G14" s="50">
        <f t="shared" si="2"/>
        <v>1.1500000000000004</v>
      </c>
      <c r="H14" s="45">
        <f t="shared" si="3"/>
        <v>10</v>
      </c>
    </row>
    <row r="15" spans="1:13">
      <c r="A15" s="69">
        <v>14</v>
      </c>
      <c r="B15" s="50">
        <v>6.8</v>
      </c>
      <c r="C15" s="51">
        <v>3</v>
      </c>
      <c r="D15" s="70" t="s">
        <v>81</v>
      </c>
      <c r="E15" s="71">
        <f t="shared" si="0"/>
        <v>1.5787653403846942</v>
      </c>
      <c r="F15" s="54">
        <f t="shared" si="1"/>
        <v>14</v>
      </c>
      <c r="G15" s="50">
        <f t="shared" si="2"/>
        <v>1.8499999999999996</v>
      </c>
      <c r="H15" s="45">
        <f t="shared" si="3"/>
        <v>14</v>
      </c>
    </row>
    <row r="16" spans="1:13" ht="15" thickBot="1">
      <c r="A16" s="72">
        <v>15</v>
      </c>
      <c r="B16" s="58">
        <v>5.7</v>
      </c>
      <c r="C16" s="59">
        <v>2.5</v>
      </c>
      <c r="D16" s="73" t="s">
        <v>81</v>
      </c>
      <c r="E16" s="74">
        <f t="shared" si="0"/>
        <v>0.49244289008980546</v>
      </c>
      <c r="F16" s="62">
        <f t="shared" si="1"/>
        <v>5</v>
      </c>
      <c r="G16" s="58">
        <f t="shared" si="2"/>
        <v>0.65000000000000036</v>
      </c>
      <c r="H16" s="94">
        <f t="shared" si="3"/>
        <v>4</v>
      </c>
    </row>
    <row r="18" spans="2:2">
      <c r="B18" s="24" t="s">
        <v>200</v>
      </c>
    </row>
  </sheetData>
  <mergeCells count="1">
    <mergeCell ref="J1:L1"/>
  </mergeCells>
  <conditionalFormatting sqref="F2:F16">
    <cfRule type="top10" dxfId="5" priority="2" bottom="1" rank="5"/>
  </conditionalFormatting>
  <conditionalFormatting sqref="H2:H16">
    <cfRule type="top10" dxfId="4" priority="1" bottom="1" rank="5"/>
  </conditionalFormatting>
  <pageMargins left="0.7" right="0.7" top="0.75" bottom="0.75" header="0.3" footer="0.3"/>
  <pageSetup paperSize="9" orientation="portrait" horizont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B0CF-F4F7-4391-A133-AC87BBEB19FA}">
  <dimension ref="A1:M16"/>
  <sheetViews>
    <sheetView zoomScale="130" zoomScaleNormal="130" workbookViewId="0"/>
  </sheetViews>
  <sheetFormatPr defaultColWidth="8.88671875" defaultRowHeight="14.4"/>
  <cols>
    <col min="1" max="1" width="3.77734375" style="1" bestFit="1" customWidth="1"/>
    <col min="2" max="2" width="11.5546875" style="1" bestFit="1" customWidth="1"/>
    <col min="3" max="3" width="11.109375" style="1" bestFit="1" customWidth="1"/>
    <col min="4" max="4" width="8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6" t="s">
        <v>69</v>
      </c>
      <c r="B1" s="37" t="s">
        <v>70</v>
      </c>
      <c r="C1" s="38" t="s">
        <v>71</v>
      </c>
      <c r="D1" s="39" t="s">
        <v>72</v>
      </c>
      <c r="E1" s="40" t="s">
        <v>73</v>
      </c>
      <c r="F1" s="39" t="s">
        <v>74</v>
      </c>
      <c r="G1" s="41" t="s">
        <v>75</v>
      </c>
      <c r="H1" s="39" t="s">
        <v>74</v>
      </c>
      <c r="J1" s="298" t="s">
        <v>76</v>
      </c>
      <c r="K1" s="298"/>
      <c r="L1" s="298"/>
    </row>
    <row r="2" spans="1:13">
      <c r="A2" s="42">
        <v>1</v>
      </c>
      <c r="B2" s="43">
        <v>5.0999999999999996</v>
      </c>
      <c r="C2" s="44">
        <v>3.5</v>
      </c>
      <c r="D2" s="45" t="s">
        <v>77</v>
      </c>
      <c r="E2" s="46"/>
      <c r="F2" s="47"/>
      <c r="G2" s="43"/>
      <c r="H2" s="45"/>
      <c r="J2" s="48" t="s">
        <v>70</v>
      </c>
      <c r="K2" s="48" t="s">
        <v>71</v>
      </c>
      <c r="L2" s="48" t="s">
        <v>72</v>
      </c>
    </row>
    <row r="3" spans="1:13">
      <c r="A3" s="49">
        <v>2</v>
      </c>
      <c r="B3" s="50">
        <v>4.9000000000000004</v>
      </c>
      <c r="C3" s="51">
        <v>3</v>
      </c>
      <c r="D3" s="52" t="s">
        <v>77</v>
      </c>
      <c r="E3" s="53"/>
      <c r="F3" s="54"/>
      <c r="G3" s="50"/>
      <c r="H3" s="52"/>
      <c r="J3" s="1">
        <v>6.3</v>
      </c>
      <c r="K3" s="55">
        <v>3</v>
      </c>
      <c r="L3" s="56" t="s">
        <v>78</v>
      </c>
      <c r="M3" s="48" t="s">
        <v>79</v>
      </c>
    </row>
    <row r="4" spans="1:13">
      <c r="A4" s="49">
        <v>3</v>
      </c>
      <c r="B4" s="50">
        <v>4.7</v>
      </c>
      <c r="C4" s="51">
        <v>3.2</v>
      </c>
      <c r="D4" s="52" t="s">
        <v>77</v>
      </c>
      <c r="E4" s="53"/>
      <c r="F4" s="54"/>
      <c r="G4" s="50"/>
      <c r="H4" s="52"/>
    </row>
    <row r="5" spans="1:13">
      <c r="A5" s="49">
        <v>4</v>
      </c>
      <c r="B5" s="50">
        <v>4.5999999999999996</v>
      </c>
      <c r="C5" s="51">
        <v>3.1</v>
      </c>
      <c r="D5" s="52" t="s">
        <v>77</v>
      </c>
      <c r="E5" s="53"/>
      <c r="F5" s="54"/>
      <c r="G5" s="50"/>
      <c r="H5" s="52"/>
    </row>
    <row r="6" spans="1:13">
      <c r="A6" s="49">
        <v>5</v>
      </c>
      <c r="B6" s="50">
        <v>5</v>
      </c>
      <c r="C6" s="51">
        <v>3.6</v>
      </c>
      <c r="D6" s="52" t="s">
        <v>77</v>
      </c>
      <c r="E6" s="53"/>
      <c r="F6" s="54"/>
      <c r="G6" s="50"/>
      <c r="H6" s="52"/>
    </row>
    <row r="7" spans="1:13">
      <c r="A7" s="49">
        <v>6</v>
      </c>
      <c r="B7" s="50">
        <v>5.5</v>
      </c>
      <c r="C7" s="51">
        <v>2.2999999999999998</v>
      </c>
      <c r="D7" s="52" t="s">
        <v>80</v>
      </c>
      <c r="E7" s="53"/>
      <c r="F7" s="54"/>
      <c r="G7" s="50"/>
      <c r="H7" s="52"/>
    </row>
    <row r="8" spans="1:13">
      <c r="A8" s="49">
        <v>7</v>
      </c>
      <c r="B8" s="50">
        <v>6.5</v>
      </c>
      <c r="C8" s="51">
        <v>2.8</v>
      </c>
      <c r="D8" s="52" t="s">
        <v>80</v>
      </c>
      <c r="E8" s="53"/>
      <c r="F8" s="54"/>
      <c r="G8" s="50"/>
      <c r="H8" s="52"/>
    </row>
    <row r="9" spans="1:13">
      <c r="A9" s="49">
        <v>8</v>
      </c>
      <c r="B9" s="50">
        <v>5.7</v>
      </c>
      <c r="C9" s="51">
        <v>2.8</v>
      </c>
      <c r="D9" s="52" t="s">
        <v>80</v>
      </c>
      <c r="E9" s="53"/>
      <c r="F9" s="54"/>
      <c r="G9" s="50"/>
      <c r="H9" s="52"/>
    </row>
    <row r="10" spans="1:13">
      <c r="A10" s="49">
        <v>9</v>
      </c>
      <c r="B10" s="50">
        <v>6.3</v>
      </c>
      <c r="C10" s="51">
        <v>3.3</v>
      </c>
      <c r="D10" s="52" t="s">
        <v>80</v>
      </c>
      <c r="E10" s="53"/>
      <c r="F10" s="54"/>
      <c r="G10" s="50"/>
      <c r="H10" s="52"/>
    </row>
    <row r="11" spans="1:13">
      <c r="A11" s="49">
        <v>10</v>
      </c>
      <c r="B11" s="50">
        <v>4.9000000000000004</v>
      </c>
      <c r="C11" s="51">
        <v>2.4</v>
      </c>
      <c r="D11" s="52" t="s">
        <v>80</v>
      </c>
      <c r="E11" s="53"/>
      <c r="F11" s="54"/>
      <c r="G11" s="50"/>
      <c r="H11" s="52"/>
    </row>
    <row r="12" spans="1:13">
      <c r="A12" s="49">
        <v>11</v>
      </c>
      <c r="B12" s="50">
        <v>7.2</v>
      </c>
      <c r="C12" s="51">
        <v>3.6</v>
      </c>
      <c r="D12" s="52" t="s">
        <v>81</v>
      </c>
      <c r="E12" s="53"/>
      <c r="F12" s="54"/>
      <c r="G12" s="50"/>
      <c r="H12" s="52"/>
    </row>
    <row r="13" spans="1:13">
      <c r="A13" s="49">
        <v>12</v>
      </c>
      <c r="B13" s="50">
        <v>6.5</v>
      </c>
      <c r="C13" s="51">
        <v>3.2</v>
      </c>
      <c r="D13" s="52" t="s">
        <v>81</v>
      </c>
      <c r="E13" s="53"/>
      <c r="F13" s="54"/>
      <c r="G13" s="50"/>
      <c r="H13" s="52"/>
    </row>
    <row r="14" spans="1:13">
      <c r="A14" s="49">
        <v>13</v>
      </c>
      <c r="B14" s="50">
        <v>6.4</v>
      </c>
      <c r="C14" s="51">
        <v>2.7</v>
      </c>
      <c r="D14" s="52" t="s">
        <v>81</v>
      </c>
      <c r="E14" s="53"/>
      <c r="F14" s="54"/>
      <c r="G14" s="50"/>
      <c r="H14" s="52"/>
    </row>
    <row r="15" spans="1:13">
      <c r="A15" s="49">
        <v>14</v>
      </c>
      <c r="B15" s="50">
        <v>6.8</v>
      </c>
      <c r="C15" s="51">
        <v>3</v>
      </c>
      <c r="D15" s="52" t="s">
        <v>81</v>
      </c>
      <c r="E15" s="53"/>
      <c r="F15" s="54"/>
      <c r="G15" s="50"/>
      <c r="H15" s="52"/>
    </row>
    <row r="16" spans="1:13" ht="15" thickBot="1">
      <c r="A16" s="57">
        <v>15</v>
      </c>
      <c r="B16" s="58">
        <v>5.7</v>
      </c>
      <c r="C16" s="59">
        <v>2.5</v>
      </c>
      <c r="D16" s="60" t="s">
        <v>81</v>
      </c>
      <c r="E16" s="61"/>
      <c r="F16" s="62"/>
      <c r="G16" s="58"/>
      <c r="H16" s="60"/>
    </row>
  </sheetData>
  <mergeCells count="1">
    <mergeCell ref="J1:L1"/>
  </mergeCells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4E37-E873-4538-B343-229FA8772C66}">
  <dimension ref="A1:Q151"/>
  <sheetViews>
    <sheetView zoomScaleNormal="100" workbookViewId="0"/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8.77734375" style="1" customWidth="1"/>
    <col min="7" max="8" width="8.88671875" style="1"/>
    <col min="9" max="9" width="10.21875" style="1" customWidth="1"/>
    <col min="10" max="11" width="8.88671875" style="1"/>
    <col min="12" max="12" width="11.44140625" style="1" bestFit="1" customWidth="1"/>
    <col min="13" max="13" width="11" style="1" bestFit="1" customWidth="1"/>
    <col min="14" max="14" width="11.33203125" style="1" bestFit="1" customWidth="1"/>
    <col min="15" max="15" width="10.88671875" style="1" bestFit="1" customWidth="1"/>
    <col min="16" max="16" width="9.21875" style="1" bestFit="1" customWidth="1"/>
    <col min="17" max="16384" width="8.88671875" style="1"/>
  </cols>
  <sheetData>
    <row r="1" spans="1:17" ht="43.8" thickBot="1">
      <c r="A1" s="75" t="s">
        <v>82</v>
      </c>
      <c r="B1" s="76" t="s">
        <v>83</v>
      </c>
      <c r="C1" s="76" t="s">
        <v>84</v>
      </c>
      <c r="D1" s="76" t="s">
        <v>85</v>
      </c>
      <c r="E1" s="76" t="s">
        <v>86</v>
      </c>
      <c r="F1" s="76" t="s">
        <v>87</v>
      </c>
      <c r="G1" s="76" t="s">
        <v>73</v>
      </c>
      <c r="H1" s="77" t="s">
        <v>74</v>
      </c>
      <c r="I1" s="75" t="s">
        <v>75</v>
      </c>
      <c r="J1" s="78" t="s">
        <v>88</v>
      </c>
    </row>
    <row r="2" spans="1:17" ht="15" thickBot="1">
      <c r="A2" s="79">
        <v>1</v>
      </c>
      <c r="B2" s="80">
        <v>5.0999999999999996</v>
      </c>
      <c r="C2" s="81">
        <v>3.5</v>
      </c>
      <c r="D2" s="81">
        <v>1.4</v>
      </c>
      <c r="E2" s="81">
        <v>0.2</v>
      </c>
      <c r="F2" s="82" t="s">
        <v>77</v>
      </c>
      <c r="G2" s="83">
        <f>SQRT((Table1[[#This Row],[sepal_length]]-$L$4)^2+(Table1[[#This Row],[sepal_width]]-$M$4)^2+(Table1[[#This Row],[petal_length]]-$N$4)^2+(Table1[[#This Row],[petal_width]]-$O$4)^2)</f>
        <v>3.4788647573597911</v>
      </c>
      <c r="H2" s="84">
        <f>RANK(Table1[[#This Row],[Euclidean
Distance]],Table1[Euclidean
Distance],1)</f>
        <v>129</v>
      </c>
      <c r="I2" s="85">
        <f>ABS(Table1[[#This Row],[sepal_length]]-$L$4)+ABS(Table1[[#This Row],[sepal_width]]-$M$4)+ABS(Table1[[#This Row],[petal_length]]-$N$4)+ABS(Table1[[#This Row],[petal_width]]-$O$4)</f>
        <v>6.3500000000000005</v>
      </c>
      <c r="J2" s="82">
        <f>RANK(Table1[[#This Row],[Manhattan
Distance]],Table1[Manhattan
Distance],1)</f>
        <v>134</v>
      </c>
      <c r="L2" s="299" t="s">
        <v>76</v>
      </c>
      <c r="M2" s="299"/>
      <c r="N2" s="299"/>
      <c r="O2" s="299"/>
      <c r="P2" s="299"/>
    </row>
    <row r="3" spans="1:17" s="179" customFormat="1" ht="13.8" customHeight="1" thickBot="1">
      <c r="A3" s="172">
        <v>2</v>
      </c>
      <c r="B3" s="173">
        <v>4.9000000000000004</v>
      </c>
      <c r="C3" s="174">
        <v>3</v>
      </c>
      <c r="D3" s="174">
        <v>1.4</v>
      </c>
      <c r="E3" s="174">
        <v>0.2</v>
      </c>
      <c r="F3" s="175" t="s">
        <v>77</v>
      </c>
      <c r="G3" s="176">
        <f>SQRT((Table1[[#This Row],[sepal_length]]-$L$4)^2+(Table1[[#This Row],[sepal_width]]-$M$4)^2+(Table1[[#This Row],[petal_length]]-$N$4)^2+(Table1[[#This Row],[petal_width]]-$O$4)^2)</f>
        <v>3.504639781775011</v>
      </c>
      <c r="H3" s="177">
        <f>RANK(Table1[[#This Row],[Euclidean
Distance]],Table1[Euclidean
Distance],1)</f>
        <v>132</v>
      </c>
      <c r="I3" s="178">
        <f>ABS(Table1[[#This Row],[sepal_length]]-$L$4)+ABS(Table1[[#This Row],[sepal_width]]-$M$4)+ABS(Table1[[#This Row],[petal_length]]-$N$4)+ABS(Table1[[#This Row],[petal_width]]-$O$4)</f>
        <v>6.05</v>
      </c>
      <c r="J3" s="175">
        <f>RANK(Table1[[#This Row],[Manhattan
Distance]],Table1[Manhattan
Distance],1)</f>
        <v>110</v>
      </c>
      <c r="L3" s="40" t="s">
        <v>83</v>
      </c>
      <c r="M3" s="89" t="s">
        <v>84</v>
      </c>
      <c r="N3" s="89" t="s">
        <v>85</v>
      </c>
      <c r="O3" s="90" t="s">
        <v>86</v>
      </c>
      <c r="P3" s="180" t="s">
        <v>72</v>
      </c>
    </row>
    <row r="4" spans="1:17" ht="15" thickBot="1">
      <c r="A4" s="86">
        <v>3</v>
      </c>
      <c r="B4" s="87">
        <v>4.7</v>
      </c>
      <c r="C4" s="51">
        <v>3.2</v>
      </c>
      <c r="D4" s="51">
        <v>1.3</v>
      </c>
      <c r="E4" s="51">
        <v>0.2</v>
      </c>
      <c r="F4" s="70" t="s">
        <v>77</v>
      </c>
      <c r="G4" s="71">
        <f>SQRT((Table1[[#This Row],[sepal_length]]-$L$4)^2+(Table1[[#This Row],[sepal_width]]-$M$4)^2+(Table1[[#This Row],[petal_length]]-$N$4)^2+(Table1[[#This Row],[petal_width]]-$O$4)^2)</f>
        <v>3.7057387927375562</v>
      </c>
      <c r="H4" s="52">
        <f>RANK(Table1[[#This Row],[Euclidean
Distance]],Table1[Euclidean
Distance],1)</f>
        <v>144</v>
      </c>
      <c r="I4" s="88">
        <f>ABS(Table1[[#This Row],[sepal_length]]-$L$4)+ABS(Table1[[#This Row],[sepal_width]]-$M$4)+ABS(Table1[[#This Row],[petal_length]]-$N$4)+ABS(Table1[[#This Row],[petal_width]]-$O$4)</f>
        <v>6.55</v>
      </c>
      <c r="J4" s="70">
        <f>RANK(Table1[[#This Row],[Manhattan
Distance]],Table1[Manhattan
Distance],1)</f>
        <v>140</v>
      </c>
      <c r="L4" s="92">
        <v>6.7</v>
      </c>
      <c r="M4" s="93">
        <v>2.75</v>
      </c>
      <c r="N4" s="93">
        <v>4.0999999999999996</v>
      </c>
      <c r="O4" s="94">
        <v>1.5</v>
      </c>
      <c r="P4" s="95" t="s">
        <v>89</v>
      </c>
      <c r="Q4" s="48" t="s">
        <v>79</v>
      </c>
    </row>
    <row r="5" spans="1:17">
      <c r="A5" s="86">
        <v>4</v>
      </c>
      <c r="B5" s="87">
        <v>4.5999999999999996</v>
      </c>
      <c r="C5" s="51">
        <v>3.1</v>
      </c>
      <c r="D5" s="51">
        <v>1.5</v>
      </c>
      <c r="E5" s="51">
        <v>0.2</v>
      </c>
      <c r="F5" s="70" t="s">
        <v>77</v>
      </c>
      <c r="G5" s="71">
        <f>SQRT((Table1[[#This Row],[sepal_length]]-$L$4)^2+(Table1[[#This Row],[sepal_width]]-$M$4)^2+(Table1[[#This Row],[petal_length]]-$N$4)^2+(Table1[[#This Row],[petal_width]]-$O$4)^2)</f>
        <v>3.603123644839294</v>
      </c>
      <c r="H5" s="52">
        <f>RANK(Table1[[#This Row],[Euclidean
Distance]],Table1[Euclidean
Distance],1)</f>
        <v>140</v>
      </c>
      <c r="I5" s="88">
        <f>ABS(Table1[[#This Row],[sepal_length]]-$L$4)+ABS(Table1[[#This Row],[sepal_width]]-$M$4)+ABS(Table1[[#This Row],[petal_length]]-$N$4)+ABS(Table1[[#This Row],[petal_width]]-$O$4)</f>
        <v>6.3500000000000005</v>
      </c>
      <c r="J5" s="70">
        <f>RANK(Table1[[#This Row],[Manhattan
Distance]],Table1[Manhattan
Distance],1)</f>
        <v>134</v>
      </c>
    </row>
    <row r="6" spans="1:17">
      <c r="A6" s="86">
        <v>5</v>
      </c>
      <c r="B6" s="87">
        <v>5</v>
      </c>
      <c r="C6" s="51">
        <v>3.6</v>
      </c>
      <c r="D6" s="51">
        <v>1.4</v>
      </c>
      <c r="E6" s="51">
        <v>0.2</v>
      </c>
      <c r="F6" s="70" t="s">
        <v>77</v>
      </c>
      <c r="G6" s="71">
        <f>SQRT((Table1[[#This Row],[sepal_length]]-$L$4)^2+(Table1[[#This Row],[sepal_width]]-$M$4)^2+(Table1[[#This Row],[petal_length]]-$N$4)^2+(Table1[[#This Row],[petal_width]]-$O$4)^2)</f>
        <v>3.5485912697858004</v>
      </c>
      <c r="H6" s="52">
        <f>RANK(Table1[[#This Row],[Euclidean
Distance]],Table1[Euclidean
Distance],1)</f>
        <v>136</v>
      </c>
      <c r="I6" s="88">
        <f>ABS(Table1[[#This Row],[sepal_length]]-$L$4)+ABS(Table1[[#This Row],[sepal_width]]-$M$4)+ABS(Table1[[#This Row],[petal_length]]-$N$4)+ABS(Table1[[#This Row],[petal_width]]-$O$4)</f>
        <v>6.55</v>
      </c>
      <c r="J6" s="70">
        <f>RANK(Table1[[#This Row],[Manhattan
Distance]],Table1[Manhattan
Distance],1)</f>
        <v>140</v>
      </c>
      <c r="P6" s="1" t="s">
        <v>89</v>
      </c>
      <c r="Q6" s="1" t="s">
        <v>90</v>
      </c>
    </row>
    <row r="7" spans="1:17">
      <c r="A7" s="86">
        <v>6</v>
      </c>
      <c r="B7" s="87">
        <v>5.4</v>
      </c>
      <c r="C7" s="51">
        <v>3.9</v>
      </c>
      <c r="D7" s="51">
        <v>1.7</v>
      </c>
      <c r="E7" s="51">
        <v>0.4</v>
      </c>
      <c r="F7" s="70" t="s">
        <v>77</v>
      </c>
      <c r="G7" s="71">
        <f>SQRT((Table1[[#This Row],[sepal_length]]-$L$4)^2+(Table1[[#This Row],[sepal_width]]-$M$4)^2+(Table1[[#This Row],[petal_length]]-$N$4)^2+(Table1[[#This Row],[petal_width]]-$O$4)^2)</f>
        <v>3.1595094555959156</v>
      </c>
      <c r="H7" s="52">
        <f>RANK(Table1[[#This Row],[Euclidean
Distance]],Table1[Euclidean
Distance],1)</f>
        <v>105</v>
      </c>
      <c r="I7" s="88">
        <f>ABS(Table1[[#This Row],[sepal_length]]-$L$4)+ABS(Table1[[#This Row],[sepal_width]]-$M$4)+ABS(Table1[[#This Row],[petal_length]]-$N$4)+ABS(Table1[[#This Row],[petal_width]]-$O$4)</f>
        <v>5.9499999999999993</v>
      </c>
      <c r="J7" s="70">
        <f>RANK(Table1[[#This Row],[Manhattan
Distance]],Table1[Manhattan
Distance],1)</f>
        <v>107</v>
      </c>
      <c r="P7" s="1" t="s">
        <v>89</v>
      </c>
      <c r="Q7" s="1" t="s">
        <v>91</v>
      </c>
    </row>
    <row r="8" spans="1:17">
      <c r="A8" s="86">
        <v>7</v>
      </c>
      <c r="B8" s="87">
        <v>4.5999999999999996</v>
      </c>
      <c r="C8" s="51">
        <v>3.4</v>
      </c>
      <c r="D8" s="51">
        <v>1.4</v>
      </c>
      <c r="E8" s="51">
        <v>0.3</v>
      </c>
      <c r="F8" s="70" t="s">
        <v>77</v>
      </c>
      <c r="G8" s="71">
        <f>SQRT((Table1[[#This Row],[sepal_length]]-$L$4)^2+(Table1[[#This Row],[sepal_width]]-$M$4)^2+(Table1[[#This Row],[petal_length]]-$N$4)^2+(Table1[[#This Row],[petal_width]]-$O$4)^2)</f>
        <v>3.6827299656640586</v>
      </c>
      <c r="H8" s="52">
        <f>RANK(Table1[[#This Row],[Euclidean
Distance]],Table1[Euclidean
Distance],1)</f>
        <v>142</v>
      </c>
      <c r="I8" s="88">
        <f>ABS(Table1[[#This Row],[sepal_length]]-$L$4)+ABS(Table1[[#This Row],[sepal_width]]-$M$4)+ABS(Table1[[#This Row],[petal_length]]-$N$4)+ABS(Table1[[#This Row],[petal_width]]-$O$4)</f>
        <v>6.65</v>
      </c>
      <c r="J8" s="70">
        <f>RANK(Table1[[#This Row],[Manhattan
Distance]],Table1[Manhattan
Distance],1)</f>
        <v>145</v>
      </c>
    </row>
    <row r="9" spans="1:17">
      <c r="A9" s="86">
        <v>8</v>
      </c>
      <c r="B9" s="87">
        <v>5</v>
      </c>
      <c r="C9" s="51">
        <v>3.4</v>
      </c>
      <c r="D9" s="51">
        <v>1.5</v>
      </c>
      <c r="E9" s="51">
        <v>0.2</v>
      </c>
      <c r="F9" s="70" t="s">
        <v>77</v>
      </c>
      <c r="G9" s="71">
        <f>SQRT((Table1[[#This Row],[sepal_length]]-$L$4)^2+(Table1[[#This Row],[sepal_width]]-$M$4)^2+(Table1[[#This Row],[petal_length]]-$N$4)^2+(Table1[[#This Row],[petal_width]]-$O$4)^2)</f>
        <v>3.429650127928503</v>
      </c>
      <c r="H9" s="52">
        <f>RANK(Table1[[#This Row],[Euclidean
Distance]],Table1[Euclidean
Distance],1)</f>
        <v>121</v>
      </c>
      <c r="I9" s="88">
        <f>ABS(Table1[[#This Row],[sepal_length]]-$L$4)+ABS(Table1[[#This Row],[sepal_width]]-$M$4)+ABS(Table1[[#This Row],[petal_length]]-$N$4)+ABS(Table1[[#This Row],[petal_width]]-$O$4)</f>
        <v>6.2499999999999991</v>
      </c>
      <c r="J9" s="70">
        <f>RANK(Table1[[#This Row],[Manhattan
Distance]],Table1[Manhattan
Distance],1)</f>
        <v>122</v>
      </c>
    </row>
    <row r="10" spans="1:17">
      <c r="A10" s="86">
        <v>9</v>
      </c>
      <c r="B10" s="87">
        <v>4.4000000000000004</v>
      </c>
      <c r="C10" s="51">
        <v>2.9</v>
      </c>
      <c r="D10" s="51">
        <v>1.4</v>
      </c>
      <c r="E10" s="51">
        <v>0.2</v>
      </c>
      <c r="F10" s="70" t="s">
        <v>77</v>
      </c>
      <c r="G10" s="71">
        <f>SQRT((Table1[[#This Row],[sepal_length]]-$L$4)^2+(Table1[[#This Row],[sepal_width]]-$M$4)^2+(Table1[[#This Row],[petal_length]]-$N$4)^2+(Table1[[#This Row],[petal_width]]-$O$4)^2)</f>
        <v>3.7805422891431855</v>
      </c>
      <c r="H10" s="52">
        <f>RANK(Table1[[#This Row],[Euclidean
Distance]],Table1[Euclidean
Distance],1)</f>
        <v>145</v>
      </c>
      <c r="I10" s="88">
        <f>ABS(Table1[[#This Row],[sepal_length]]-$L$4)+ABS(Table1[[#This Row],[sepal_width]]-$M$4)+ABS(Table1[[#This Row],[petal_length]]-$N$4)+ABS(Table1[[#This Row],[petal_width]]-$O$4)</f>
        <v>6.4499999999999993</v>
      </c>
      <c r="J10" s="70">
        <f>RANK(Table1[[#This Row],[Manhattan
Distance]],Table1[Manhattan
Distance],1)</f>
        <v>136</v>
      </c>
    </row>
    <row r="11" spans="1:17">
      <c r="A11" s="86">
        <v>10</v>
      </c>
      <c r="B11" s="87">
        <v>4.9000000000000004</v>
      </c>
      <c r="C11" s="51">
        <v>3.1</v>
      </c>
      <c r="D11" s="51">
        <v>1.5</v>
      </c>
      <c r="E11" s="51">
        <v>0.1</v>
      </c>
      <c r="F11" s="70" t="s">
        <v>77</v>
      </c>
      <c r="G11" s="71">
        <f>SQRT((Table1[[#This Row],[sepal_length]]-$L$4)^2+(Table1[[#This Row],[sepal_width]]-$M$4)^2+(Table1[[#This Row],[petal_length]]-$N$4)^2+(Table1[[#This Row],[petal_width]]-$O$4)^2)</f>
        <v>3.4759890678769398</v>
      </c>
      <c r="H11" s="52">
        <f>RANK(Table1[[#This Row],[Euclidean
Distance]],Table1[Euclidean
Distance],1)</f>
        <v>126</v>
      </c>
      <c r="I11" s="88">
        <f>ABS(Table1[[#This Row],[sepal_length]]-$L$4)+ABS(Table1[[#This Row],[sepal_width]]-$M$4)+ABS(Table1[[#This Row],[petal_length]]-$N$4)+ABS(Table1[[#This Row],[petal_width]]-$O$4)</f>
        <v>6.15</v>
      </c>
      <c r="J11" s="70">
        <f>RANK(Table1[[#This Row],[Manhattan
Distance]],Table1[Manhattan
Distance],1)</f>
        <v>119</v>
      </c>
    </row>
    <row r="12" spans="1:17">
      <c r="A12" s="86">
        <v>11</v>
      </c>
      <c r="B12" s="87">
        <v>5.4</v>
      </c>
      <c r="C12" s="51">
        <v>3.7</v>
      </c>
      <c r="D12" s="51">
        <v>1.5</v>
      </c>
      <c r="E12" s="51">
        <v>0.2</v>
      </c>
      <c r="F12" s="70" t="s">
        <v>77</v>
      </c>
      <c r="G12" s="71">
        <f>SQRT((Table1[[#This Row],[sepal_length]]-$L$4)^2+(Table1[[#This Row],[sepal_width]]-$M$4)^2+(Table1[[#This Row],[petal_length]]-$N$4)^2+(Table1[[#This Row],[petal_width]]-$O$4)^2)</f>
        <v>3.3230257296626515</v>
      </c>
      <c r="H12" s="52">
        <f>RANK(Table1[[#This Row],[Euclidean
Distance]],Table1[Euclidean
Distance],1)</f>
        <v>111</v>
      </c>
      <c r="I12" s="88">
        <f>ABS(Table1[[#This Row],[sepal_length]]-$L$4)+ABS(Table1[[#This Row],[sepal_width]]-$M$4)+ABS(Table1[[#This Row],[petal_length]]-$N$4)+ABS(Table1[[#This Row],[petal_width]]-$O$4)</f>
        <v>6.1499999999999995</v>
      </c>
      <c r="J12" s="70">
        <f>RANK(Table1[[#This Row],[Manhattan
Distance]],Table1[Manhattan
Distance],1)</f>
        <v>115</v>
      </c>
    </row>
    <row r="13" spans="1:17">
      <c r="A13" s="86">
        <v>12</v>
      </c>
      <c r="B13" s="87">
        <v>4.8</v>
      </c>
      <c r="C13" s="51">
        <v>3.4</v>
      </c>
      <c r="D13" s="51">
        <v>1.6</v>
      </c>
      <c r="E13" s="51">
        <v>0.2</v>
      </c>
      <c r="F13" s="70" t="s">
        <v>77</v>
      </c>
      <c r="G13" s="71">
        <f>SQRT((Table1[[#This Row],[sepal_length]]-$L$4)^2+(Table1[[#This Row],[sepal_width]]-$M$4)^2+(Table1[[#This Row],[petal_length]]-$N$4)^2+(Table1[[#This Row],[petal_width]]-$O$4)^2)</f>
        <v>3.4601300553591909</v>
      </c>
      <c r="H13" s="52">
        <f>RANK(Table1[[#This Row],[Euclidean
Distance]],Table1[Euclidean
Distance],1)</f>
        <v>124</v>
      </c>
      <c r="I13" s="88">
        <f>ABS(Table1[[#This Row],[sepal_length]]-$L$4)+ABS(Table1[[#This Row],[sepal_width]]-$M$4)+ABS(Table1[[#This Row],[petal_length]]-$N$4)+ABS(Table1[[#This Row],[petal_width]]-$O$4)</f>
        <v>6.35</v>
      </c>
      <c r="J13" s="70">
        <f>RANK(Table1[[#This Row],[Manhattan
Distance]],Table1[Manhattan
Distance],1)</f>
        <v>129</v>
      </c>
    </row>
    <row r="14" spans="1:17">
      <c r="A14" s="86">
        <v>13</v>
      </c>
      <c r="B14" s="87">
        <v>4.8</v>
      </c>
      <c r="C14" s="51">
        <v>3</v>
      </c>
      <c r="D14" s="51">
        <v>1.4</v>
      </c>
      <c r="E14" s="51">
        <v>0.1</v>
      </c>
      <c r="F14" s="70" t="s">
        <v>77</v>
      </c>
      <c r="G14" s="71">
        <f>SQRT((Table1[[#This Row],[sepal_length]]-$L$4)^2+(Table1[[#This Row],[sepal_width]]-$M$4)^2+(Table1[[#This Row],[petal_length]]-$N$4)^2+(Table1[[#This Row],[petal_width]]-$O$4)^2)</f>
        <v>3.5947878936037378</v>
      </c>
      <c r="H14" s="52">
        <f>RANK(Table1[[#This Row],[Euclidean
Distance]],Table1[Euclidean
Distance],1)</f>
        <v>139</v>
      </c>
      <c r="I14" s="88">
        <f>ABS(Table1[[#This Row],[sepal_length]]-$L$4)+ABS(Table1[[#This Row],[sepal_width]]-$M$4)+ABS(Table1[[#This Row],[petal_length]]-$N$4)+ABS(Table1[[#This Row],[petal_width]]-$O$4)</f>
        <v>6.25</v>
      </c>
      <c r="J14" s="70">
        <f>RANK(Table1[[#This Row],[Manhattan
Distance]],Table1[Manhattan
Distance],1)</f>
        <v>125</v>
      </c>
    </row>
    <row r="15" spans="1:17">
      <c r="A15" s="86">
        <v>14</v>
      </c>
      <c r="B15" s="87">
        <v>4.3</v>
      </c>
      <c r="C15" s="51">
        <v>3</v>
      </c>
      <c r="D15" s="51">
        <v>1.1000000000000001</v>
      </c>
      <c r="E15" s="51">
        <v>0.1</v>
      </c>
      <c r="F15" s="70" t="s">
        <v>77</v>
      </c>
      <c r="G15" s="71">
        <f>SQRT((Table1[[#This Row],[sepal_length]]-$L$4)^2+(Table1[[#This Row],[sepal_width]]-$M$4)^2+(Table1[[#This Row],[petal_length]]-$N$4)^2+(Table1[[#This Row],[petal_width]]-$O$4)^2)</f>
        <v>4.0966449687518685</v>
      </c>
      <c r="H15" s="52">
        <f>RANK(Table1[[#This Row],[Euclidean
Distance]],Table1[Euclidean
Distance],1)</f>
        <v>150</v>
      </c>
      <c r="I15" s="88">
        <f>ABS(Table1[[#This Row],[sepal_length]]-$L$4)+ABS(Table1[[#This Row],[sepal_width]]-$M$4)+ABS(Table1[[#This Row],[petal_length]]-$N$4)+ABS(Table1[[#This Row],[petal_width]]-$O$4)</f>
        <v>7.0500000000000007</v>
      </c>
      <c r="J15" s="70">
        <f>RANK(Table1[[#This Row],[Manhattan
Distance]],Table1[Manhattan
Distance],1)</f>
        <v>149</v>
      </c>
    </row>
    <row r="16" spans="1:17">
      <c r="A16" s="86">
        <v>15</v>
      </c>
      <c r="B16" s="87">
        <v>5.8</v>
      </c>
      <c r="C16" s="51">
        <v>4</v>
      </c>
      <c r="D16" s="51">
        <v>1.2</v>
      </c>
      <c r="E16" s="51">
        <v>0.2</v>
      </c>
      <c r="F16" s="70" t="s">
        <v>77</v>
      </c>
      <c r="G16" s="71">
        <f>SQRT((Table1[[#This Row],[sepal_length]]-$L$4)^2+(Table1[[#This Row],[sepal_width]]-$M$4)^2+(Table1[[#This Row],[petal_length]]-$N$4)^2+(Table1[[#This Row],[petal_width]]-$O$4)^2)</f>
        <v>3.5316426772820599</v>
      </c>
      <c r="H16" s="52">
        <f>RANK(Table1[[#This Row],[Euclidean
Distance]],Table1[Euclidean
Distance],1)</f>
        <v>134</v>
      </c>
      <c r="I16" s="88">
        <f>ABS(Table1[[#This Row],[sepal_length]]-$L$4)+ABS(Table1[[#This Row],[sepal_width]]-$M$4)+ABS(Table1[[#This Row],[petal_length]]-$N$4)+ABS(Table1[[#This Row],[petal_width]]-$O$4)</f>
        <v>6.35</v>
      </c>
      <c r="J16" s="70">
        <f>RANK(Table1[[#This Row],[Manhattan
Distance]],Table1[Manhattan
Distance],1)</f>
        <v>129</v>
      </c>
    </row>
    <row r="17" spans="1:10">
      <c r="A17" s="86">
        <v>16</v>
      </c>
      <c r="B17" s="87">
        <v>5.7</v>
      </c>
      <c r="C17" s="51">
        <v>4.4000000000000004</v>
      </c>
      <c r="D17" s="51">
        <v>1.5</v>
      </c>
      <c r="E17" s="51">
        <v>0.4</v>
      </c>
      <c r="F17" s="70" t="s">
        <v>77</v>
      </c>
      <c r="G17" s="71">
        <f>SQRT((Table1[[#This Row],[sepal_length]]-$L$4)^2+(Table1[[#This Row],[sepal_width]]-$M$4)^2+(Table1[[#This Row],[petal_length]]-$N$4)^2+(Table1[[#This Row],[petal_width]]-$O$4)^2)</f>
        <v>3.4194297770242335</v>
      </c>
      <c r="H17" s="52">
        <f>RANK(Table1[[#This Row],[Euclidean
Distance]],Table1[Euclidean
Distance],1)</f>
        <v>120</v>
      </c>
      <c r="I17" s="88">
        <f>ABS(Table1[[#This Row],[sepal_length]]-$L$4)+ABS(Table1[[#This Row],[sepal_width]]-$M$4)+ABS(Table1[[#This Row],[petal_length]]-$N$4)+ABS(Table1[[#This Row],[petal_width]]-$O$4)</f>
        <v>6.35</v>
      </c>
      <c r="J17" s="70">
        <f>RANK(Table1[[#This Row],[Manhattan
Distance]],Table1[Manhattan
Distance],1)</f>
        <v>129</v>
      </c>
    </row>
    <row r="18" spans="1:10">
      <c r="A18" s="86">
        <v>17</v>
      </c>
      <c r="B18" s="87">
        <v>5.4</v>
      </c>
      <c r="C18" s="51">
        <v>3.9</v>
      </c>
      <c r="D18" s="51">
        <v>1.3</v>
      </c>
      <c r="E18" s="51">
        <v>0.4</v>
      </c>
      <c r="F18" s="70" t="s">
        <v>77</v>
      </c>
      <c r="G18" s="71">
        <f>SQRT((Table1[[#This Row],[sepal_length]]-$L$4)^2+(Table1[[#This Row],[sepal_width]]-$M$4)^2+(Table1[[#This Row],[petal_length]]-$N$4)^2+(Table1[[#This Row],[petal_width]]-$O$4)^2)</f>
        <v>3.473110997362451</v>
      </c>
      <c r="H18" s="52">
        <f>RANK(Table1[[#This Row],[Euclidean
Distance]],Table1[Euclidean
Distance],1)</f>
        <v>125</v>
      </c>
      <c r="I18" s="88">
        <f>ABS(Table1[[#This Row],[sepal_length]]-$L$4)+ABS(Table1[[#This Row],[sepal_width]]-$M$4)+ABS(Table1[[#This Row],[petal_length]]-$N$4)+ABS(Table1[[#This Row],[petal_width]]-$O$4)</f>
        <v>6.35</v>
      </c>
      <c r="J18" s="70">
        <f>RANK(Table1[[#This Row],[Manhattan
Distance]],Table1[Manhattan
Distance],1)</f>
        <v>129</v>
      </c>
    </row>
    <row r="19" spans="1:10">
      <c r="A19" s="86">
        <v>18</v>
      </c>
      <c r="B19" s="87">
        <v>5.0999999999999996</v>
      </c>
      <c r="C19" s="51">
        <v>3.5</v>
      </c>
      <c r="D19" s="51">
        <v>1.4</v>
      </c>
      <c r="E19" s="51">
        <v>0.3</v>
      </c>
      <c r="F19" s="70" t="s">
        <v>77</v>
      </c>
      <c r="G19" s="71">
        <f>SQRT((Table1[[#This Row],[sepal_length]]-$L$4)^2+(Table1[[#This Row],[sepal_width]]-$M$4)^2+(Table1[[#This Row],[petal_length]]-$N$4)^2+(Table1[[#This Row],[petal_width]]-$O$4)^2)</f>
        <v>3.4427459970204017</v>
      </c>
      <c r="H19" s="52">
        <f>RANK(Table1[[#This Row],[Euclidean
Distance]],Table1[Euclidean
Distance],1)</f>
        <v>122</v>
      </c>
      <c r="I19" s="88">
        <f>ABS(Table1[[#This Row],[sepal_length]]-$L$4)+ABS(Table1[[#This Row],[sepal_width]]-$M$4)+ABS(Table1[[#This Row],[petal_length]]-$N$4)+ABS(Table1[[#This Row],[petal_width]]-$O$4)</f>
        <v>6.2500000000000009</v>
      </c>
      <c r="J19" s="70">
        <f>RANK(Table1[[#This Row],[Manhattan
Distance]],Table1[Manhattan
Distance],1)</f>
        <v>128</v>
      </c>
    </row>
    <row r="20" spans="1:10">
      <c r="A20" s="86">
        <v>19</v>
      </c>
      <c r="B20" s="87">
        <v>5.7</v>
      </c>
      <c r="C20" s="51">
        <v>3.8</v>
      </c>
      <c r="D20" s="51">
        <v>1.7</v>
      </c>
      <c r="E20" s="51">
        <v>0.3</v>
      </c>
      <c r="F20" s="70" t="s">
        <v>77</v>
      </c>
      <c r="G20" s="71">
        <f>SQRT((Table1[[#This Row],[sepal_length]]-$L$4)^2+(Table1[[#This Row],[sepal_width]]-$M$4)^2+(Table1[[#This Row],[petal_length]]-$N$4)^2+(Table1[[#This Row],[petal_width]]-$O$4)^2)</f>
        <v>3.0499999999999994</v>
      </c>
      <c r="H20" s="52">
        <f>RANK(Table1[[#This Row],[Euclidean
Distance]],Table1[Euclidean
Distance],1)</f>
        <v>99</v>
      </c>
      <c r="I20" s="88">
        <f>ABS(Table1[[#This Row],[sepal_length]]-$L$4)+ABS(Table1[[#This Row],[sepal_width]]-$M$4)+ABS(Table1[[#This Row],[petal_length]]-$N$4)+ABS(Table1[[#This Row],[petal_width]]-$O$4)</f>
        <v>5.6499999999999995</v>
      </c>
      <c r="J20" s="70">
        <f>RANK(Table1[[#This Row],[Manhattan
Distance]],Table1[Manhattan
Distance],1)</f>
        <v>103</v>
      </c>
    </row>
    <row r="21" spans="1:10">
      <c r="A21" s="86">
        <v>20</v>
      </c>
      <c r="B21" s="87">
        <v>5.0999999999999996</v>
      </c>
      <c r="C21" s="51">
        <v>3.8</v>
      </c>
      <c r="D21" s="51">
        <v>1.5</v>
      </c>
      <c r="E21" s="51">
        <v>0.3</v>
      </c>
      <c r="F21" s="70" t="s">
        <v>77</v>
      </c>
      <c r="G21" s="71">
        <f>SQRT((Table1[[#This Row],[sepal_length]]-$L$4)^2+(Table1[[#This Row],[sepal_width]]-$M$4)^2+(Table1[[#This Row],[petal_length]]-$N$4)^2+(Table1[[#This Row],[petal_width]]-$O$4)^2)</f>
        <v>3.4441980198589044</v>
      </c>
      <c r="H21" s="52">
        <f>RANK(Table1[[#This Row],[Euclidean
Distance]],Table1[Euclidean
Distance],1)</f>
        <v>123</v>
      </c>
      <c r="I21" s="88">
        <f>ABS(Table1[[#This Row],[sepal_length]]-$L$4)+ABS(Table1[[#This Row],[sepal_width]]-$M$4)+ABS(Table1[[#This Row],[petal_length]]-$N$4)+ABS(Table1[[#This Row],[petal_width]]-$O$4)</f>
        <v>6.45</v>
      </c>
      <c r="J21" s="70">
        <f>RANK(Table1[[#This Row],[Manhattan
Distance]],Table1[Manhattan
Distance],1)</f>
        <v>137</v>
      </c>
    </row>
    <row r="22" spans="1:10">
      <c r="A22" s="86">
        <v>21</v>
      </c>
      <c r="B22" s="87">
        <v>5.4</v>
      </c>
      <c r="C22" s="51">
        <v>3.4</v>
      </c>
      <c r="D22" s="51">
        <v>1.7</v>
      </c>
      <c r="E22" s="51">
        <v>0.2</v>
      </c>
      <c r="F22" s="70" t="s">
        <v>77</v>
      </c>
      <c r="G22" s="71">
        <f>SQRT((Table1[[#This Row],[sepal_length]]-$L$4)^2+(Table1[[#This Row],[sepal_width]]-$M$4)^2+(Table1[[#This Row],[petal_length]]-$N$4)^2+(Table1[[#This Row],[petal_width]]-$O$4)^2)</f>
        <v>3.0923292192132448</v>
      </c>
      <c r="H22" s="52">
        <f>RANK(Table1[[#This Row],[Euclidean
Distance]],Table1[Euclidean
Distance],1)</f>
        <v>102</v>
      </c>
      <c r="I22" s="88">
        <f>ABS(Table1[[#This Row],[sepal_length]]-$L$4)+ABS(Table1[[#This Row],[sepal_width]]-$M$4)+ABS(Table1[[#This Row],[petal_length]]-$N$4)+ABS(Table1[[#This Row],[petal_width]]-$O$4)</f>
        <v>5.6499999999999995</v>
      </c>
      <c r="J22" s="70">
        <f>RANK(Table1[[#This Row],[Manhattan
Distance]],Table1[Manhattan
Distance],1)</f>
        <v>103</v>
      </c>
    </row>
    <row r="23" spans="1:10">
      <c r="A23" s="86">
        <v>22</v>
      </c>
      <c r="B23" s="87">
        <v>5.0999999999999996</v>
      </c>
      <c r="C23" s="51">
        <v>3.7</v>
      </c>
      <c r="D23" s="51">
        <v>1.5</v>
      </c>
      <c r="E23" s="51">
        <v>0.4</v>
      </c>
      <c r="F23" s="70" t="s">
        <v>77</v>
      </c>
      <c r="G23" s="71">
        <f>SQRT((Table1[[#This Row],[sepal_length]]-$L$4)^2+(Table1[[#This Row],[sepal_width]]-$M$4)^2+(Table1[[#This Row],[petal_length]]-$N$4)^2+(Table1[[#This Row],[petal_width]]-$O$4)^2)</f>
        <v>3.3811980125393428</v>
      </c>
      <c r="H23" s="52">
        <f>RANK(Table1[[#This Row],[Euclidean
Distance]],Table1[Euclidean
Distance],1)</f>
        <v>115</v>
      </c>
      <c r="I23" s="88">
        <f>ABS(Table1[[#This Row],[sepal_length]]-$L$4)+ABS(Table1[[#This Row],[sepal_width]]-$M$4)+ABS(Table1[[#This Row],[petal_length]]-$N$4)+ABS(Table1[[#This Row],[petal_width]]-$O$4)</f>
        <v>6.25</v>
      </c>
      <c r="J23" s="70">
        <f>RANK(Table1[[#This Row],[Manhattan
Distance]],Table1[Manhattan
Distance],1)</f>
        <v>125</v>
      </c>
    </row>
    <row r="24" spans="1:10">
      <c r="A24" s="86">
        <v>23</v>
      </c>
      <c r="B24" s="87">
        <v>4.5999999999999996</v>
      </c>
      <c r="C24" s="51">
        <v>3.6</v>
      </c>
      <c r="D24" s="51">
        <v>1</v>
      </c>
      <c r="E24" s="51">
        <v>0.2</v>
      </c>
      <c r="F24" s="70" t="s">
        <v>77</v>
      </c>
      <c r="G24" s="71">
        <f>SQRT((Table1[[#This Row],[sepal_length]]-$L$4)^2+(Table1[[#This Row],[sepal_width]]-$M$4)^2+(Table1[[#This Row],[petal_length]]-$N$4)^2+(Table1[[#This Row],[petal_width]]-$O$4)^2)</f>
        <v>4.0537020117418594</v>
      </c>
      <c r="H24" s="52">
        <f>RANK(Table1[[#This Row],[Euclidean
Distance]],Table1[Euclidean
Distance],1)</f>
        <v>149</v>
      </c>
      <c r="I24" s="88">
        <f>ABS(Table1[[#This Row],[sepal_length]]-$L$4)+ABS(Table1[[#This Row],[sepal_width]]-$M$4)+ABS(Table1[[#This Row],[petal_length]]-$N$4)+ABS(Table1[[#This Row],[petal_width]]-$O$4)</f>
        <v>7.3500000000000005</v>
      </c>
      <c r="J24" s="70">
        <f>RANK(Table1[[#This Row],[Manhattan
Distance]],Table1[Manhattan
Distance],1)</f>
        <v>150</v>
      </c>
    </row>
    <row r="25" spans="1:10">
      <c r="A25" s="86">
        <v>24</v>
      </c>
      <c r="B25" s="87">
        <v>5.0999999999999996</v>
      </c>
      <c r="C25" s="51">
        <v>3.3</v>
      </c>
      <c r="D25" s="51">
        <v>1.7</v>
      </c>
      <c r="E25" s="51">
        <v>0.5</v>
      </c>
      <c r="F25" s="70" t="s">
        <v>77</v>
      </c>
      <c r="G25" s="71">
        <f>SQRT((Table1[[#This Row],[sepal_length]]-$L$4)^2+(Table1[[#This Row],[sepal_width]]-$M$4)^2+(Table1[[#This Row],[petal_length]]-$N$4)^2+(Table1[[#This Row],[petal_width]]-$O$4)^2)</f>
        <v>3.1020154738492196</v>
      </c>
      <c r="H25" s="52">
        <f>RANK(Table1[[#This Row],[Euclidean
Distance]],Table1[Euclidean
Distance],1)</f>
        <v>103</v>
      </c>
      <c r="I25" s="88">
        <f>ABS(Table1[[#This Row],[sepal_length]]-$L$4)+ABS(Table1[[#This Row],[sepal_width]]-$M$4)+ABS(Table1[[#This Row],[petal_length]]-$N$4)+ABS(Table1[[#This Row],[petal_width]]-$O$4)</f>
        <v>5.55</v>
      </c>
      <c r="J25" s="70">
        <f>RANK(Table1[[#This Row],[Manhattan
Distance]],Table1[Manhattan
Distance],1)</f>
        <v>101</v>
      </c>
    </row>
    <row r="26" spans="1:10">
      <c r="A26" s="86">
        <v>25</v>
      </c>
      <c r="B26" s="87">
        <v>4.8</v>
      </c>
      <c r="C26" s="51">
        <v>3.4</v>
      </c>
      <c r="D26" s="51">
        <v>1.9</v>
      </c>
      <c r="E26" s="51">
        <v>0.2</v>
      </c>
      <c r="F26" s="70" t="s">
        <v>77</v>
      </c>
      <c r="G26" s="71">
        <f>SQRT((Table1[[#This Row],[sepal_length]]-$L$4)^2+(Table1[[#This Row],[sepal_width]]-$M$4)^2+(Table1[[#This Row],[petal_length]]-$N$4)^2+(Table1[[#This Row],[petal_width]]-$O$4)^2)</f>
        <v>3.2499999999999996</v>
      </c>
      <c r="H26" s="52">
        <f>RANK(Table1[[#This Row],[Euclidean
Distance]],Table1[Euclidean
Distance],1)</f>
        <v>108</v>
      </c>
      <c r="I26" s="88">
        <f>ABS(Table1[[#This Row],[sepal_length]]-$L$4)+ABS(Table1[[#This Row],[sepal_width]]-$M$4)+ABS(Table1[[#This Row],[petal_length]]-$N$4)+ABS(Table1[[#This Row],[petal_width]]-$O$4)</f>
        <v>6.05</v>
      </c>
      <c r="J26" s="70">
        <f>RANK(Table1[[#This Row],[Manhattan
Distance]],Table1[Manhattan
Distance],1)</f>
        <v>110</v>
      </c>
    </row>
    <row r="27" spans="1:10">
      <c r="A27" s="86">
        <v>26</v>
      </c>
      <c r="B27" s="87">
        <v>5</v>
      </c>
      <c r="C27" s="51">
        <v>3</v>
      </c>
      <c r="D27" s="51">
        <v>1.6</v>
      </c>
      <c r="E27" s="51">
        <v>0.2</v>
      </c>
      <c r="F27" s="70" t="s">
        <v>77</v>
      </c>
      <c r="G27" s="71">
        <f>SQRT((Table1[[#This Row],[sepal_length]]-$L$4)^2+(Table1[[#This Row],[sepal_width]]-$M$4)^2+(Table1[[#This Row],[petal_length]]-$N$4)^2+(Table1[[#This Row],[petal_width]]-$O$4)^2)</f>
        <v>3.3003787661418498</v>
      </c>
      <c r="H27" s="52">
        <f>RANK(Table1[[#This Row],[Euclidean
Distance]],Table1[Euclidean
Distance],1)</f>
        <v>110</v>
      </c>
      <c r="I27" s="88">
        <f>ABS(Table1[[#This Row],[sepal_length]]-$L$4)+ABS(Table1[[#This Row],[sepal_width]]-$M$4)+ABS(Table1[[#This Row],[petal_length]]-$N$4)+ABS(Table1[[#This Row],[petal_width]]-$O$4)</f>
        <v>5.7499999999999991</v>
      </c>
      <c r="J27" s="70">
        <f>RANK(Table1[[#This Row],[Manhattan
Distance]],Table1[Manhattan
Distance],1)</f>
        <v>105</v>
      </c>
    </row>
    <row r="28" spans="1:10">
      <c r="A28" s="86">
        <v>27</v>
      </c>
      <c r="B28" s="87">
        <v>5</v>
      </c>
      <c r="C28" s="51">
        <v>3.4</v>
      </c>
      <c r="D28" s="51">
        <v>1.6</v>
      </c>
      <c r="E28" s="51">
        <v>0.4</v>
      </c>
      <c r="F28" s="70" t="s">
        <v>77</v>
      </c>
      <c r="G28" s="71">
        <f>SQRT((Table1[[#This Row],[sepal_length]]-$L$4)^2+(Table1[[#This Row],[sepal_width]]-$M$4)^2+(Table1[[#This Row],[petal_length]]-$N$4)^2+(Table1[[#This Row],[petal_width]]-$O$4)^2)</f>
        <v>3.2821486864552618</v>
      </c>
      <c r="H28" s="52">
        <f>RANK(Table1[[#This Row],[Euclidean
Distance]],Table1[Euclidean
Distance],1)</f>
        <v>109</v>
      </c>
      <c r="I28" s="88">
        <f>ABS(Table1[[#This Row],[sepal_length]]-$L$4)+ABS(Table1[[#This Row],[sepal_width]]-$M$4)+ABS(Table1[[#This Row],[petal_length]]-$N$4)+ABS(Table1[[#This Row],[petal_width]]-$O$4)</f>
        <v>5.9499999999999993</v>
      </c>
      <c r="J28" s="70">
        <f>RANK(Table1[[#This Row],[Manhattan
Distance]],Table1[Manhattan
Distance],1)</f>
        <v>107</v>
      </c>
    </row>
    <row r="29" spans="1:10">
      <c r="A29" s="86">
        <v>28</v>
      </c>
      <c r="B29" s="87">
        <v>5.2</v>
      </c>
      <c r="C29" s="51">
        <v>3.5</v>
      </c>
      <c r="D29" s="51">
        <v>1.5</v>
      </c>
      <c r="E29" s="51">
        <v>0.2</v>
      </c>
      <c r="F29" s="70" t="s">
        <v>77</v>
      </c>
      <c r="G29" s="71">
        <f>SQRT((Table1[[#This Row],[sepal_length]]-$L$4)^2+(Table1[[#This Row],[sepal_width]]-$M$4)^2+(Table1[[#This Row],[petal_length]]-$N$4)^2+(Table1[[#This Row],[petal_width]]-$O$4)^2)</f>
        <v>3.3559648389099666</v>
      </c>
      <c r="H29" s="52">
        <f>RANK(Table1[[#This Row],[Euclidean
Distance]],Table1[Euclidean
Distance],1)</f>
        <v>112</v>
      </c>
      <c r="I29" s="88">
        <f>ABS(Table1[[#This Row],[sepal_length]]-$L$4)+ABS(Table1[[#This Row],[sepal_width]]-$M$4)+ABS(Table1[[#This Row],[petal_length]]-$N$4)+ABS(Table1[[#This Row],[petal_width]]-$O$4)</f>
        <v>6.1499999999999995</v>
      </c>
      <c r="J29" s="70">
        <f>RANK(Table1[[#This Row],[Manhattan
Distance]],Table1[Manhattan
Distance],1)</f>
        <v>115</v>
      </c>
    </row>
    <row r="30" spans="1:10">
      <c r="A30" s="86">
        <v>29</v>
      </c>
      <c r="B30" s="87">
        <v>5.2</v>
      </c>
      <c r="C30" s="51">
        <v>3.4</v>
      </c>
      <c r="D30" s="51">
        <v>1.4</v>
      </c>
      <c r="E30" s="51">
        <v>0.2</v>
      </c>
      <c r="F30" s="70" t="s">
        <v>77</v>
      </c>
      <c r="G30" s="71">
        <f>SQRT((Table1[[#This Row],[sepal_length]]-$L$4)^2+(Table1[[#This Row],[sepal_width]]-$M$4)^2+(Table1[[#This Row],[petal_length]]-$N$4)^2+(Table1[[#This Row],[petal_width]]-$O$4)^2)</f>
        <v>3.4135758377396566</v>
      </c>
      <c r="H30" s="52">
        <f>RANK(Table1[[#This Row],[Euclidean
Distance]],Table1[Euclidean
Distance],1)</f>
        <v>118</v>
      </c>
      <c r="I30" s="88">
        <f>ABS(Table1[[#This Row],[sepal_length]]-$L$4)+ABS(Table1[[#This Row],[sepal_width]]-$M$4)+ABS(Table1[[#This Row],[petal_length]]-$N$4)+ABS(Table1[[#This Row],[petal_width]]-$O$4)</f>
        <v>6.1499999999999995</v>
      </c>
      <c r="J30" s="70">
        <f>RANK(Table1[[#This Row],[Manhattan
Distance]],Table1[Manhattan
Distance],1)</f>
        <v>115</v>
      </c>
    </row>
    <row r="31" spans="1:10">
      <c r="A31" s="86">
        <v>30</v>
      </c>
      <c r="B31" s="87">
        <v>4.7</v>
      </c>
      <c r="C31" s="51">
        <v>3.2</v>
      </c>
      <c r="D31" s="51">
        <v>1.6</v>
      </c>
      <c r="E31" s="51">
        <v>0.2</v>
      </c>
      <c r="F31" s="70" t="s">
        <v>77</v>
      </c>
      <c r="G31" s="71">
        <f>SQRT((Table1[[#This Row],[sepal_length]]-$L$4)^2+(Table1[[#This Row],[sepal_width]]-$M$4)^2+(Table1[[#This Row],[petal_length]]-$N$4)^2+(Table1[[#This Row],[petal_width]]-$O$4)^2)</f>
        <v>3.4846090168051851</v>
      </c>
      <c r="H31" s="52">
        <f>RANK(Table1[[#This Row],[Euclidean
Distance]],Table1[Euclidean
Distance],1)</f>
        <v>130</v>
      </c>
      <c r="I31" s="88">
        <f>ABS(Table1[[#This Row],[sepal_length]]-$L$4)+ABS(Table1[[#This Row],[sepal_width]]-$M$4)+ABS(Table1[[#This Row],[petal_length]]-$N$4)+ABS(Table1[[#This Row],[petal_width]]-$O$4)</f>
        <v>6.2499999999999991</v>
      </c>
      <c r="J31" s="70">
        <f>RANK(Table1[[#This Row],[Manhattan
Distance]],Table1[Manhattan
Distance],1)</f>
        <v>122</v>
      </c>
    </row>
    <row r="32" spans="1:10">
      <c r="A32" s="86">
        <v>31</v>
      </c>
      <c r="B32" s="87">
        <v>4.8</v>
      </c>
      <c r="C32" s="51">
        <v>3.1</v>
      </c>
      <c r="D32" s="51">
        <v>1.6</v>
      </c>
      <c r="E32" s="51">
        <v>0.2</v>
      </c>
      <c r="F32" s="70" t="s">
        <v>77</v>
      </c>
      <c r="G32" s="71">
        <f>SQRT((Table1[[#This Row],[sepal_length]]-$L$4)^2+(Table1[[#This Row],[sepal_width]]-$M$4)^2+(Table1[[#This Row],[petal_length]]-$N$4)^2+(Table1[[#This Row],[petal_width]]-$O$4)^2)</f>
        <v>3.416504061171302</v>
      </c>
      <c r="H32" s="52">
        <f>RANK(Table1[[#This Row],[Euclidean
Distance]],Table1[Euclidean
Distance],1)</f>
        <v>119</v>
      </c>
      <c r="I32" s="88">
        <f>ABS(Table1[[#This Row],[sepal_length]]-$L$4)+ABS(Table1[[#This Row],[sepal_width]]-$M$4)+ABS(Table1[[#This Row],[petal_length]]-$N$4)+ABS(Table1[[#This Row],[petal_width]]-$O$4)</f>
        <v>6.05</v>
      </c>
      <c r="J32" s="70">
        <f>RANK(Table1[[#This Row],[Manhattan
Distance]],Table1[Manhattan
Distance],1)</f>
        <v>110</v>
      </c>
    </row>
    <row r="33" spans="1:10">
      <c r="A33" s="86">
        <v>32</v>
      </c>
      <c r="B33" s="87">
        <v>5.4</v>
      </c>
      <c r="C33" s="51">
        <v>3.4</v>
      </c>
      <c r="D33" s="51">
        <v>1.5</v>
      </c>
      <c r="E33" s="51">
        <v>0.4</v>
      </c>
      <c r="F33" s="70" t="s">
        <v>77</v>
      </c>
      <c r="G33" s="71">
        <f>SQRT((Table1[[#This Row],[sepal_length]]-$L$4)^2+(Table1[[#This Row],[sepal_width]]-$M$4)^2+(Table1[[#This Row],[petal_length]]-$N$4)^2+(Table1[[#This Row],[petal_width]]-$O$4)^2)</f>
        <v>3.1752952618614851</v>
      </c>
      <c r="H33" s="52">
        <f>RANK(Table1[[#This Row],[Euclidean
Distance]],Table1[Euclidean
Distance],1)</f>
        <v>106</v>
      </c>
      <c r="I33" s="88">
        <f>ABS(Table1[[#This Row],[sepal_length]]-$L$4)+ABS(Table1[[#This Row],[sepal_width]]-$M$4)+ABS(Table1[[#This Row],[petal_length]]-$N$4)+ABS(Table1[[#This Row],[petal_width]]-$O$4)</f>
        <v>5.6499999999999986</v>
      </c>
      <c r="J33" s="70">
        <f>RANK(Table1[[#This Row],[Manhattan
Distance]],Table1[Manhattan
Distance],1)</f>
        <v>102</v>
      </c>
    </row>
    <row r="34" spans="1:10">
      <c r="A34" s="86">
        <v>33</v>
      </c>
      <c r="B34" s="87">
        <v>5.2</v>
      </c>
      <c r="C34" s="51">
        <v>4.0999999999999996</v>
      </c>
      <c r="D34" s="51">
        <v>1.5</v>
      </c>
      <c r="E34" s="51">
        <v>0.1</v>
      </c>
      <c r="F34" s="70" t="s">
        <v>77</v>
      </c>
      <c r="G34" s="71">
        <f>SQRT((Table1[[#This Row],[sepal_length]]-$L$4)^2+(Table1[[#This Row],[sepal_width]]-$M$4)^2+(Table1[[#This Row],[petal_length]]-$N$4)^2+(Table1[[#This Row],[petal_width]]-$O$4)^2)</f>
        <v>3.5766604535516082</v>
      </c>
      <c r="H34" s="52">
        <f>RANK(Table1[[#This Row],[Euclidean
Distance]],Table1[Euclidean
Distance],1)</f>
        <v>138</v>
      </c>
      <c r="I34" s="88">
        <f>ABS(Table1[[#This Row],[sepal_length]]-$L$4)+ABS(Table1[[#This Row],[sepal_width]]-$M$4)+ABS(Table1[[#This Row],[petal_length]]-$N$4)+ABS(Table1[[#This Row],[petal_width]]-$O$4)</f>
        <v>6.85</v>
      </c>
      <c r="J34" s="70">
        <f>RANK(Table1[[#This Row],[Manhattan
Distance]],Table1[Manhattan
Distance],1)</f>
        <v>147</v>
      </c>
    </row>
    <row r="35" spans="1:10">
      <c r="A35" s="86">
        <v>34</v>
      </c>
      <c r="B35" s="87">
        <v>5.5</v>
      </c>
      <c r="C35" s="51">
        <v>4.2</v>
      </c>
      <c r="D35" s="51">
        <v>1.4</v>
      </c>
      <c r="E35" s="51">
        <v>0.2</v>
      </c>
      <c r="F35" s="70" t="s">
        <v>77</v>
      </c>
      <c r="G35" s="71">
        <f>SQRT((Table1[[#This Row],[sepal_length]]-$L$4)^2+(Table1[[#This Row],[sepal_width]]-$M$4)^2+(Table1[[#This Row],[petal_length]]-$N$4)^2+(Table1[[#This Row],[petal_width]]-$O$4)^2)</f>
        <v>3.538714455844099</v>
      </c>
      <c r="H35" s="52">
        <f>RANK(Table1[[#This Row],[Euclidean
Distance]],Table1[Euclidean
Distance],1)</f>
        <v>135</v>
      </c>
      <c r="I35" s="88">
        <f>ABS(Table1[[#This Row],[sepal_length]]-$L$4)+ABS(Table1[[#This Row],[sepal_width]]-$M$4)+ABS(Table1[[#This Row],[petal_length]]-$N$4)+ABS(Table1[[#This Row],[petal_width]]-$O$4)</f>
        <v>6.6499999999999995</v>
      </c>
      <c r="J35" s="70">
        <f>RANK(Table1[[#This Row],[Manhattan
Distance]],Table1[Manhattan
Distance],1)</f>
        <v>143</v>
      </c>
    </row>
    <row r="36" spans="1:10">
      <c r="A36" s="86">
        <v>35</v>
      </c>
      <c r="B36" s="87">
        <v>4.9000000000000004</v>
      </c>
      <c r="C36" s="51">
        <v>3.1</v>
      </c>
      <c r="D36" s="51">
        <v>1.5</v>
      </c>
      <c r="E36" s="51">
        <v>0.1</v>
      </c>
      <c r="F36" s="70" t="s">
        <v>77</v>
      </c>
      <c r="G36" s="71">
        <f>SQRT((Table1[[#This Row],[sepal_length]]-$L$4)^2+(Table1[[#This Row],[sepal_width]]-$M$4)^2+(Table1[[#This Row],[petal_length]]-$N$4)^2+(Table1[[#This Row],[petal_width]]-$O$4)^2)</f>
        <v>3.4759890678769398</v>
      </c>
      <c r="H36" s="52">
        <f>RANK(Table1[[#This Row],[Euclidean
Distance]],Table1[Euclidean
Distance],1)</f>
        <v>126</v>
      </c>
      <c r="I36" s="88">
        <f>ABS(Table1[[#This Row],[sepal_length]]-$L$4)+ABS(Table1[[#This Row],[sepal_width]]-$M$4)+ABS(Table1[[#This Row],[petal_length]]-$N$4)+ABS(Table1[[#This Row],[petal_width]]-$O$4)</f>
        <v>6.15</v>
      </c>
      <c r="J36" s="70">
        <f>RANK(Table1[[#This Row],[Manhattan
Distance]],Table1[Manhattan
Distance],1)</f>
        <v>119</v>
      </c>
    </row>
    <row r="37" spans="1:10">
      <c r="A37" s="86">
        <v>36</v>
      </c>
      <c r="B37" s="87">
        <v>5</v>
      </c>
      <c r="C37" s="51">
        <v>3.2</v>
      </c>
      <c r="D37" s="51">
        <v>1.2</v>
      </c>
      <c r="E37" s="51">
        <v>0.2</v>
      </c>
      <c r="F37" s="70" t="s">
        <v>77</v>
      </c>
      <c r="G37" s="71">
        <f>SQRT((Table1[[#This Row],[sepal_length]]-$L$4)^2+(Table1[[#This Row],[sepal_width]]-$M$4)^2+(Table1[[#This Row],[petal_length]]-$N$4)^2+(Table1[[#This Row],[petal_width]]-$O$4)^2)</f>
        <v>3.6321481247328</v>
      </c>
      <c r="H37" s="52">
        <f>RANK(Table1[[#This Row],[Euclidean
Distance]],Table1[Euclidean
Distance],1)</f>
        <v>141</v>
      </c>
      <c r="I37" s="88">
        <f>ABS(Table1[[#This Row],[sepal_length]]-$L$4)+ABS(Table1[[#This Row],[sepal_width]]-$M$4)+ABS(Table1[[#This Row],[petal_length]]-$N$4)+ABS(Table1[[#This Row],[petal_width]]-$O$4)</f>
        <v>6.35</v>
      </c>
      <c r="J37" s="70">
        <f>RANK(Table1[[#This Row],[Manhattan
Distance]],Table1[Manhattan
Distance],1)</f>
        <v>129</v>
      </c>
    </row>
    <row r="38" spans="1:10">
      <c r="A38" s="86">
        <v>37</v>
      </c>
      <c r="B38" s="87">
        <v>5.5</v>
      </c>
      <c r="C38" s="51">
        <v>3.5</v>
      </c>
      <c r="D38" s="51">
        <v>1.3</v>
      </c>
      <c r="E38" s="51">
        <v>0.2</v>
      </c>
      <c r="F38" s="70" t="s">
        <v>77</v>
      </c>
      <c r="G38" s="71">
        <f>SQRT((Table1[[#This Row],[sepal_length]]-$L$4)^2+(Table1[[#This Row],[sepal_width]]-$M$4)^2+(Table1[[#This Row],[petal_length]]-$N$4)^2+(Table1[[#This Row],[petal_width]]-$O$4)^2)</f>
        <v>3.3959534743573858</v>
      </c>
      <c r="H38" s="52">
        <f>RANK(Table1[[#This Row],[Euclidean
Distance]],Table1[Euclidean
Distance],1)</f>
        <v>116</v>
      </c>
      <c r="I38" s="88">
        <f>ABS(Table1[[#This Row],[sepal_length]]-$L$4)+ABS(Table1[[#This Row],[sepal_width]]-$M$4)+ABS(Table1[[#This Row],[petal_length]]-$N$4)+ABS(Table1[[#This Row],[petal_width]]-$O$4)</f>
        <v>6.05</v>
      </c>
      <c r="J38" s="70">
        <f>RANK(Table1[[#This Row],[Manhattan
Distance]],Table1[Manhattan
Distance],1)</f>
        <v>110</v>
      </c>
    </row>
    <row r="39" spans="1:10">
      <c r="A39" s="86">
        <v>38</v>
      </c>
      <c r="B39" s="87">
        <v>4.9000000000000004</v>
      </c>
      <c r="C39" s="51">
        <v>3.1</v>
      </c>
      <c r="D39" s="51">
        <v>1.5</v>
      </c>
      <c r="E39" s="51">
        <v>0.1</v>
      </c>
      <c r="F39" s="70" t="s">
        <v>77</v>
      </c>
      <c r="G39" s="71">
        <f>SQRT((Table1[[#This Row],[sepal_length]]-$L$4)^2+(Table1[[#This Row],[sepal_width]]-$M$4)^2+(Table1[[#This Row],[petal_length]]-$N$4)^2+(Table1[[#This Row],[petal_width]]-$O$4)^2)</f>
        <v>3.4759890678769398</v>
      </c>
      <c r="H39" s="52">
        <f>RANK(Table1[[#This Row],[Euclidean
Distance]],Table1[Euclidean
Distance],1)</f>
        <v>126</v>
      </c>
      <c r="I39" s="88">
        <f>ABS(Table1[[#This Row],[sepal_length]]-$L$4)+ABS(Table1[[#This Row],[sepal_width]]-$M$4)+ABS(Table1[[#This Row],[petal_length]]-$N$4)+ABS(Table1[[#This Row],[petal_width]]-$O$4)</f>
        <v>6.15</v>
      </c>
      <c r="J39" s="70">
        <f>RANK(Table1[[#This Row],[Manhattan
Distance]],Table1[Manhattan
Distance],1)</f>
        <v>119</v>
      </c>
    </row>
    <row r="40" spans="1:10">
      <c r="A40" s="86">
        <v>39</v>
      </c>
      <c r="B40" s="87">
        <v>4.4000000000000004</v>
      </c>
      <c r="C40" s="51">
        <v>3</v>
      </c>
      <c r="D40" s="51">
        <v>1.3</v>
      </c>
      <c r="E40" s="51">
        <v>0.2</v>
      </c>
      <c r="F40" s="70" t="s">
        <v>77</v>
      </c>
      <c r="G40" s="71">
        <f>SQRT((Table1[[#This Row],[sepal_length]]-$L$4)^2+(Table1[[#This Row],[sepal_width]]-$M$4)^2+(Table1[[#This Row],[petal_length]]-$N$4)^2+(Table1[[#This Row],[petal_width]]-$O$4)^2)</f>
        <v>3.8577843381920665</v>
      </c>
      <c r="H40" s="52">
        <f>RANK(Table1[[#This Row],[Euclidean
Distance]],Table1[Euclidean
Distance],1)</f>
        <v>147</v>
      </c>
      <c r="I40" s="88">
        <f>ABS(Table1[[#This Row],[sepal_length]]-$L$4)+ABS(Table1[[#This Row],[sepal_width]]-$M$4)+ABS(Table1[[#This Row],[petal_length]]-$N$4)+ABS(Table1[[#This Row],[petal_width]]-$O$4)</f>
        <v>6.6499999999999995</v>
      </c>
      <c r="J40" s="70">
        <f>RANK(Table1[[#This Row],[Manhattan
Distance]],Table1[Manhattan
Distance],1)</f>
        <v>143</v>
      </c>
    </row>
    <row r="41" spans="1:10">
      <c r="A41" s="86">
        <v>40</v>
      </c>
      <c r="B41" s="87">
        <v>5.0999999999999996</v>
      </c>
      <c r="C41" s="51">
        <v>3.4</v>
      </c>
      <c r="D41" s="51">
        <v>1.5</v>
      </c>
      <c r="E41" s="51">
        <v>0.2</v>
      </c>
      <c r="F41" s="70" t="s">
        <v>77</v>
      </c>
      <c r="G41" s="71">
        <f>SQRT((Table1[[#This Row],[sepal_length]]-$L$4)^2+(Table1[[#This Row],[sepal_width]]-$M$4)^2+(Table1[[#This Row],[petal_length]]-$N$4)^2+(Table1[[#This Row],[petal_width]]-$O$4)^2)</f>
        <v>3.3811980125393424</v>
      </c>
      <c r="H41" s="52">
        <f>RANK(Table1[[#This Row],[Euclidean
Distance]],Table1[Euclidean
Distance],1)</f>
        <v>114</v>
      </c>
      <c r="I41" s="88">
        <f>ABS(Table1[[#This Row],[sepal_length]]-$L$4)+ABS(Table1[[#This Row],[sepal_width]]-$M$4)+ABS(Table1[[#This Row],[petal_length]]-$N$4)+ABS(Table1[[#This Row],[petal_width]]-$O$4)</f>
        <v>6.1499999999999995</v>
      </c>
      <c r="J41" s="70">
        <f>RANK(Table1[[#This Row],[Manhattan
Distance]],Table1[Manhattan
Distance],1)</f>
        <v>115</v>
      </c>
    </row>
    <row r="42" spans="1:10">
      <c r="A42" s="86">
        <v>41</v>
      </c>
      <c r="B42" s="87">
        <v>5</v>
      </c>
      <c r="C42" s="51">
        <v>3.5</v>
      </c>
      <c r="D42" s="51">
        <v>1.3</v>
      </c>
      <c r="E42" s="51">
        <v>0.3</v>
      </c>
      <c r="F42" s="70" t="s">
        <v>77</v>
      </c>
      <c r="G42" s="71">
        <f>SQRT((Table1[[#This Row],[sepal_length]]-$L$4)^2+(Table1[[#This Row],[sepal_width]]-$M$4)^2+(Table1[[#This Row],[petal_length]]-$N$4)^2+(Table1[[#This Row],[petal_width]]-$O$4)^2)</f>
        <v>3.5682628826923612</v>
      </c>
      <c r="H42" s="52">
        <f>RANK(Table1[[#This Row],[Euclidean
Distance]],Table1[Euclidean
Distance],1)</f>
        <v>137</v>
      </c>
      <c r="I42" s="88">
        <f>ABS(Table1[[#This Row],[sepal_length]]-$L$4)+ABS(Table1[[#This Row],[sepal_width]]-$M$4)+ABS(Table1[[#This Row],[petal_length]]-$N$4)+ABS(Table1[[#This Row],[petal_width]]-$O$4)</f>
        <v>6.45</v>
      </c>
      <c r="J42" s="70">
        <f>RANK(Table1[[#This Row],[Manhattan
Distance]],Table1[Manhattan
Distance],1)</f>
        <v>137</v>
      </c>
    </row>
    <row r="43" spans="1:10">
      <c r="A43" s="86">
        <v>42</v>
      </c>
      <c r="B43" s="87">
        <v>4.5</v>
      </c>
      <c r="C43" s="51">
        <v>2.2999999999999998</v>
      </c>
      <c r="D43" s="51">
        <v>1.3</v>
      </c>
      <c r="E43" s="51">
        <v>0.3</v>
      </c>
      <c r="F43" s="70" t="s">
        <v>77</v>
      </c>
      <c r="G43" s="71">
        <f>SQRT((Table1[[#This Row],[sepal_length]]-$L$4)^2+(Table1[[#This Row],[sepal_width]]-$M$4)^2+(Table1[[#This Row],[petal_length]]-$N$4)^2+(Table1[[#This Row],[petal_width]]-$O$4)^2)</f>
        <v>3.7845078940332519</v>
      </c>
      <c r="H43" s="52">
        <f>RANK(Table1[[#This Row],[Euclidean
Distance]],Table1[Euclidean
Distance],1)</f>
        <v>146</v>
      </c>
      <c r="I43" s="88">
        <f>ABS(Table1[[#This Row],[sepal_length]]-$L$4)+ABS(Table1[[#This Row],[sepal_width]]-$M$4)+ABS(Table1[[#This Row],[petal_length]]-$N$4)+ABS(Table1[[#This Row],[petal_width]]-$O$4)</f>
        <v>6.65</v>
      </c>
      <c r="J43" s="70">
        <f>RANK(Table1[[#This Row],[Manhattan
Distance]],Table1[Manhattan
Distance],1)</f>
        <v>145</v>
      </c>
    </row>
    <row r="44" spans="1:10">
      <c r="A44" s="86">
        <v>43</v>
      </c>
      <c r="B44" s="87">
        <v>4.4000000000000004</v>
      </c>
      <c r="C44" s="51">
        <v>3.2</v>
      </c>
      <c r="D44" s="51">
        <v>1.3</v>
      </c>
      <c r="E44" s="51">
        <v>0.2</v>
      </c>
      <c r="F44" s="70" t="s">
        <v>77</v>
      </c>
      <c r="G44" s="71">
        <f>SQRT((Table1[[#This Row],[sepal_length]]-$L$4)^2+(Table1[[#This Row],[sepal_width]]-$M$4)^2+(Table1[[#This Row],[petal_length]]-$N$4)^2+(Table1[[#This Row],[petal_width]]-$O$4)^2)</f>
        <v>3.8758869952566983</v>
      </c>
      <c r="H44" s="52">
        <f>RANK(Table1[[#This Row],[Euclidean
Distance]],Table1[Euclidean
Distance],1)</f>
        <v>148</v>
      </c>
      <c r="I44" s="88">
        <f>ABS(Table1[[#This Row],[sepal_length]]-$L$4)+ABS(Table1[[#This Row],[sepal_width]]-$M$4)+ABS(Table1[[#This Row],[petal_length]]-$N$4)+ABS(Table1[[#This Row],[petal_width]]-$O$4)</f>
        <v>6.85</v>
      </c>
      <c r="J44" s="70">
        <f>RANK(Table1[[#This Row],[Manhattan
Distance]],Table1[Manhattan
Distance],1)</f>
        <v>147</v>
      </c>
    </row>
    <row r="45" spans="1:10">
      <c r="A45" s="86">
        <v>44</v>
      </c>
      <c r="B45" s="87">
        <v>5</v>
      </c>
      <c r="C45" s="51">
        <v>3.5</v>
      </c>
      <c r="D45" s="51">
        <v>1.6</v>
      </c>
      <c r="E45" s="51">
        <v>0.6</v>
      </c>
      <c r="F45" s="70" t="s">
        <v>77</v>
      </c>
      <c r="G45" s="71">
        <f>SQRT((Table1[[#This Row],[sepal_length]]-$L$4)^2+(Table1[[#This Row],[sepal_width]]-$M$4)^2+(Table1[[#This Row],[petal_length]]-$N$4)^2+(Table1[[#This Row],[petal_width]]-$O$4)^2)</f>
        <v>3.2422985673746951</v>
      </c>
      <c r="H45" s="52">
        <f>RANK(Table1[[#This Row],[Euclidean
Distance]],Table1[Euclidean
Distance],1)</f>
        <v>107</v>
      </c>
      <c r="I45" s="88">
        <f>ABS(Table1[[#This Row],[sepal_length]]-$L$4)+ABS(Table1[[#This Row],[sepal_width]]-$M$4)+ABS(Table1[[#This Row],[petal_length]]-$N$4)+ABS(Table1[[#This Row],[petal_width]]-$O$4)</f>
        <v>5.85</v>
      </c>
      <c r="J45" s="70">
        <f>RANK(Table1[[#This Row],[Manhattan
Distance]],Table1[Manhattan
Distance],1)</f>
        <v>106</v>
      </c>
    </row>
    <row r="46" spans="1:10">
      <c r="A46" s="86">
        <v>45</v>
      </c>
      <c r="B46" s="87">
        <v>5.0999999999999996</v>
      </c>
      <c r="C46" s="51">
        <v>3.8</v>
      </c>
      <c r="D46" s="51">
        <v>1.9</v>
      </c>
      <c r="E46" s="51">
        <v>0.4</v>
      </c>
      <c r="F46" s="70" t="s">
        <v>77</v>
      </c>
      <c r="G46" s="71">
        <f>SQRT((Table1[[#This Row],[sepal_length]]-$L$4)^2+(Table1[[#This Row],[sepal_width]]-$M$4)^2+(Table1[[#This Row],[petal_length]]-$N$4)^2+(Table1[[#This Row],[petal_width]]-$O$4)^2)</f>
        <v>3.1164884084494848</v>
      </c>
      <c r="H46" s="52">
        <f>RANK(Table1[[#This Row],[Euclidean
Distance]],Table1[Euclidean
Distance],1)</f>
        <v>104</v>
      </c>
      <c r="I46" s="88">
        <f>ABS(Table1[[#This Row],[sepal_length]]-$L$4)+ABS(Table1[[#This Row],[sepal_width]]-$M$4)+ABS(Table1[[#This Row],[petal_length]]-$N$4)+ABS(Table1[[#This Row],[petal_width]]-$O$4)</f>
        <v>5.9499999999999993</v>
      </c>
      <c r="J46" s="70">
        <f>RANK(Table1[[#This Row],[Manhattan
Distance]],Table1[Manhattan
Distance],1)</f>
        <v>107</v>
      </c>
    </row>
    <row r="47" spans="1:10">
      <c r="A47" s="86">
        <v>46</v>
      </c>
      <c r="B47" s="87">
        <v>4.8</v>
      </c>
      <c r="C47" s="51">
        <v>3</v>
      </c>
      <c r="D47" s="51">
        <v>1.4</v>
      </c>
      <c r="E47" s="51">
        <v>0.3</v>
      </c>
      <c r="F47" s="70" t="s">
        <v>77</v>
      </c>
      <c r="G47" s="71">
        <f>SQRT((Table1[[#This Row],[sepal_length]]-$L$4)^2+(Table1[[#This Row],[sepal_width]]-$M$4)^2+(Table1[[#This Row],[petal_length]]-$N$4)^2+(Table1[[#This Row],[petal_width]]-$O$4)^2)</f>
        <v>3.5217183305880666</v>
      </c>
      <c r="H47" s="52">
        <f>RANK(Table1[[#This Row],[Euclidean
Distance]],Table1[Euclidean
Distance],1)</f>
        <v>133</v>
      </c>
      <c r="I47" s="88">
        <f>ABS(Table1[[#This Row],[sepal_length]]-$L$4)+ABS(Table1[[#This Row],[sepal_width]]-$M$4)+ABS(Table1[[#This Row],[petal_length]]-$N$4)+ABS(Table1[[#This Row],[petal_width]]-$O$4)</f>
        <v>6.05</v>
      </c>
      <c r="J47" s="70">
        <f>RANK(Table1[[#This Row],[Manhattan
Distance]],Table1[Manhattan
Distance],1)</f>
        <v>110</v>
      </c>
    </row>
    <row r="48" spans="1:10">
      <c r="A48" s="86">
        <v>47</v>
      </c>
      <c r="B48" s="87">
        <v>5.0999999999999996</v>
      </c>
      <c r="C48" s="51">
        <v>3.8</v>
      </c>
      <c r="D48" s="51">
        <v>1.6</v>
      </c>
      <c r="E48" s="51">
        <v>0.2</v>
      </c>
      <c r="F48" s="70" t="s">
        <v>77</v>
      </c>
      <c r="G48" s="71">
        <f>SQRT((Table1[[#This Row],[sepal_length]]-$L$4)^2+(Table1[[#This Row],[sepal_width]]-$M$4)^2+(Table1[[#This Row],[petal_length]]-$N$4)^2+(Table1[[#This Row],[petal_width]]-$O$4)^2)</f>
        <v>3.4062442660502197</v>
      </c>
      <c r="H48" s="52">
        <f>RANK(Table1[[#This Row],[Euclidean
Distance]],Table1[Euclidean
Distance],1)</f>
        <v>117</v>
      </c>
      <c r="I48" s="88">
        <f>ABS(Table1[[#This Row],[sepal_length]]-$L$4)+ABS(Table1[[#This Row],[sepal_width]]-$M$4)+ABS(Table1[[#This Row],[petal_length]]-$N$4)+ABS(Table1[[#This Row],[petal_width]]-$O$4)</f>
        <v>6.45</v>
      </c>
      <c r="J48" s="70">
        <f>RANK(Table1[[#This Row],[Manhattan
Distance]],Table1[Manhattan
Distance],1)</f>
        <v>137</v>
      </c>
    </row>
    <row r="49" spans="1:10">
      <c r="A49" s="86">
        <v>48</v>
      </c>
      <c r="B49" s="87">
        <v>4.5999999999999996</v>
      </c>
      <c r="C49" s="51">
        <v>3.2</v>
      </c>
      <c r="D49" s="51">
        <v>1.4</v>
      </c>
      <c r="E49" s="51">
        <v>0.2</v>
      </c>
      <c r="F49" s="70" t="s">
        <v>77</v>
      </c>
      <c r="G49" s="71">
        <f>SQRT((Table1[[#This Row],[sepal_length]]-$L$4)^2+(Table1[[#This Row],[sepal_width]]-$M$4)^2+(Table1[[#This Row],[petal_length]]-$N$4)^2+(Table1[[#This Row],[petal_width]]-$O$4)^2)</f>
        <v>3.6868007811651551</v>
      </c>
      <c r="H49" s="52">
        <f>RANK(Table1[[#This Row],[Euclidean
Distance]],Table1[Euclidean
Distance],1)</f>
        <v>143</v>
      </c>
      <c r="I49" s="88">
        <f>ABS(Table1[[#This Row],[sepal_length]]-$L$4)+ABS(Table1[[#This Row],[sepal_width]]-$M$4)+ABS(Table1[[#This Row],[petal_length]]-$N$4)+ABS(Table1[[#This Row],[petal_width]]-$O$4)</f>
        <v>6.55</v>
      </c>
      <c r="J49" s="70">
        <f>RANK(Table1[[#This Row],[Manhattan
Distance]],Table1[Manhattan
Distance],1)</f>
        <v>140</v>
      </c>
    </row>
    <row r="50" spans="1:10">
      <c r="A50" s="86">
        <v>49</v>
      </c>
      <c r="B50" s="87">
        <v>5.3</v>
      </c>
      <c r="C50" s="51">
        <v>3.7</v>
      </c>
      <c r="D50" s="51">
        <v>1.5</v>
      </c>
      <c r="E50" s="51">
        <v>0.2</v>
      </c>
      <c r="F50" s="70" t="s">
        <v>77</v>
      </c>
      <c r="G50" s="71">
        <f>SQRT((Table1[[#This Row],[sepal_length]]-$L$4)^2+(Table1[[#This Row],[sepal_width]]-$M$4)^2+(Table1[[#This Row],[petal_length]]-$N$4)^2+(Table1[[#This Row],[petal_width]]-$O$4)^2)</f>
        <v>3.3634060117684275</v>
      </c>
      <c r="H50" s="52">
        <f>RANK(Table1[[#This Row],[Euclidean
Distance]],Table1[Euclidean
Distance],1)</f>
        <v>113</v>
      </c>
      <c r="I50" s="88">
        <f>ABS(Table1[[#This Row],[sepal_length]]-$L$4)+ABS(Table1[[#This Row],[sepal_width]]-$M$4)+ABS(Table1[[#This Row],[petal_length]]-$N$4)+ABS(Table1[[#This Row],[petal_width]]-$O$4)</f>
        <v>6.25</v>
      </c>
      <c r="J50" s="70">
        <f>RANK(Table1[[#This Row],[Manhattan
Distance]],Table1[Manhattan
Distance],1)</f>
        <v>125</v>
      </c>
    </row>
    <row r="51" spans="1:10">
      <c r="A51" s="86">
        <v>50</v>
      </c>
      <c r="B51" s="87">
        <v>5</v>
      </c>
      <c r="C51" s="51">
        <v>3.3</v>
      </c>
      <c r="D51" s="51">
        <v>1.4</v>
      </c>
      <c r="E51" s="51">
        <v>0.2</v>
      </c>
      <c r="F51" s="70" t="s">
        <v>77</v>
      </c>
      <c r="G51" s="71">
        <f>SQRT((Table1[[#This Row],[sepal_length]]-$L$4)^2+(Table1[[#This Row],[sepal_width]]-$M$4)^2+(Table1[[#This Row],[petal_length]]-$N$4)^2+(Table1[[#This Row],[petal_width]]-$O$4)^2)</f>
        <v>3.488911004883902</v>
      </c>
      <c r="H51" s="52">
        <f>RANK(Table1[[#This Row],[Euclidean
Distance]],Table1[Euclidean
Distance],1)</f>
        <v>131</v>
      </c>
      <c r="I51" s="88">
        <f>ABS(Table1[[#This Row],[sepal_length]]-$L$4)+ABS(Table1[[#This Row],[sepal_width]]-$M$4)+ABS(Table1[[#This Row],[petal_length]]-$N$4)+ABS(Table1[[#This Row],[petal_width]]-$O$4)</f>
        <v>6.2499999999999991</v>
      </c>
      <c r="J51" s="70">
        <f>RANK(Table1[[#This Row],[Manhattan
Distance]],Table1[Manhattan
Distance],1)</f>
        <v>122</v>
      </c>
    </row>
    <row r="52" spans="1:10">
      <c r="A52" s="86">
        <v>51</v>
      </c>
      <c r="B52" s="87">
        <v>7</v>
      </c>
      <c r="C52" s="51">
        <v>3.2</v>
      </c>
      <c r="D52" s="51">
        <v>4.7</v>
      </c>
      <c r="E52" s="51">
        <v>1.4</v>
      </c>
      <c r="F52" s="70" t="s">
        <v>80</v>
      </c>
      <c r="G52" s="71">
        <f>SQRT((Table1[[#This Row],[sepal_length]]-$L$4)^2+(Table1[[#This Row],[sepal_width]]-$M$4)^2+(Table1[[#This Row],[petal_length]]-$N$4)^2+(Table1[[#This Row],[petal_width]]-$O$4)^2)</f>
        <v>0.81394102980498584</v>
      </c>
      <c r="H52" s="52">
        <f>RANK(Table1[[#This Row],[Euclidean
Distance]],Table1[Euclidean
Distance],1)</f>
        <v>12</v>
      </c>
      <c r="I52" s="88">
        <f>ABS(Table1[[#This Row],[sepal_length]]-$L$4)+ABS(Table1[[#This Row],[sepal_width]]-$M$4)+ABS(Table1[[#This Row],[petal_length]]-$N$4)+ABS(Table1[[#This Row],[petal_width]]-$O$4)</f>
        <v>1.4500000000000006</v>
      </c>
      <c r="J52" s="70">
        <f>RANK(Table1[[#This Row],[Manhattan
Distance]],Table1[Manhattan
Distance],1)</f>
        <v>23</v>
      </c>
    </row>
    <row r="53" spans="1:10">
      <c r="A53" s="86">
        <v>52</v>
      </c>
      <c r="B53" s="87">
        <v>6.4</v>
      </c>
      <c r="C53" s="51">
        <v>3.2</v>
      </c>
      <c r="D53" s="51">
        <v>4.5</v>
      </c>
      <c r="E53" s="51">
        <v>1.5</v>
      </c>
      <c r="F53" s="70" t="s">
        <v>80</v>
      </c>
      <c r="G53" s="71">
        <f>SQRT((Table1[[#This Row],[sepal_length]]-$L$4)^2+(Table1[[#This Row],[sepal_width]]-$M$4)^2+(Table1[[#This Row],[petal_length]]-$N$4)^2+(Table1[[#This Row],[petal_width]]-$O$4)^2)</f>
        <v>0.67268120235368578</v>
      </c>
      <c r="H53" s="52">
        <f>RANK(Table1[[#This Row],[Euclidean
Distance]],Table1[Euclidean
Distance],1)</f>
        <v>8</v>
      </c>
      <c r="I53" s="88">
        <f>ABS(Table1[[#This Row],[sepal_length]]-$L$4)+ABS(Table1[[#This Row],[sepal_width]]-$M$4)+ABS(Table1[[#This Row],[petal_length]]-$N$4)+ABS(Table1[[#This Row],[petal_width]]-$O$4)</f>
        <v>1.1500000000000004</v>
      </c>
      <c r="J53" s="70">
        <f>RANK(Table1[[#This Row],[Manhattan
Distance]],Table1[Manhattan
Distance],1)</f>
        <v>10</v>
      </c>
    </row>
    <row r="54" spans="1:10">
      <c r="A54" s="86">
        <v>53</v>
      </c>
      <c r="B54" s="87">
        <v>6.9</v>
      </c>
      <c r="C54" s="51">
        <v>3.1</v>
      </c>
      <c r="D54" s="51">
        <v>4.9000000000000004</v>
      </c>
      <c r="E54" s="51">
        <v>1.5</v>
      </c>
      <c r="F54" s="70" t="s">
        <v>80</v>
      </c>
      <c r="G54" s="71">
        <f>SQRT((Table1[[#This Row],[sepal_length]]-$L$4)^2+(Table1[[#This Row],[sepal_width]]-$M$4)^2+(Table1[[#This Row],[petal_length]]-$N$4)^2+(Table1[[#This Row],[petal_width]]-$O$4)^2)</f>
        <v>0.89582364335844655</v>
      </c>
      <c r="H54" s="52">
        <f>RANK(Table1[[#This Row],[Euclidean
Distance]],Table1[Euclidean
Distance],1)</f>
        <v>18</v>
      </c>
      <c r="I54" s="88">
        <f>ABS(Table1[[#This Row],[sepal_length]]-$L$4)+ABS(Table1[[#This Row],[sepal_width]]-$M$4)+ABS(Table1[[#This Row],[petal_length]]-$N$4)+ABS(Table1[[#This Row],[petal_width]]-$O$4)</f>
        <v>1.350000000000001</v>
      </c>
      <c r="J54" s="70">
        <f>RANK(Table1[[#This Row],[Manhattan
Distance]],Table1[Manhattan
Distance],1)</f>
        <v>15</v>
      </c>
    </row>
    <row r="55" spans="1:10">
      <c r="A55" s="86">
        <v>54</v>
      </c>
      <c r="B55" s="87">
        <v>5.5</v>
      </c>
      <c r="C55" s="51">
        <v>2.2999999999999998</v>
      </c>
      <c r="D55" s="51">
        <v>4</v>
      </c>
      <c r="E55" s="51">
        <v>1.3</v>
      </c>
      <c r="F55" s="70" t="s">
        <v>80</v>
      </c>
      <c r="G55" s="71">
        <f>SQRT((Table1[[#This Row],[sepal_length]]-$L$4)^2+(Table1[[#This Row],[sepal_width]]-$M$4)^2+(Table1[[#This Row],[petal_length]]-$N$4)^2+(Table1[[#This Row],[petal_width]]-$O$4)^2)</f>
        <v>1.300961183125769</v>
      </c>
      <c r="H55" s="52">
        <f>RANK(Table1[[#This Row],[Euclidean
Distance]],Table1[Euclidean
Distance],1)</f>
        <v>52</v>
      </c>
      <c r="I55" s="88">
        <f>ABS(Table1[[#This Row],[sepal_length]]-$L$4)+ABS(Table1[[#This Row],[sepal_width]]-$M$4)+ABS(Table1[[#This Row],[petal_length]]-$N$4)+ABS(Table1[[#This Row],[petal_width]]-$O$4)</f>
        <v>1.95</v>
      </c>
      <c r="J55" s="70">
        <f>RANK(Table1[[#This Row],[Manhattan
Distance]],Table1[Manhattan
Distance],1)</f>
        <v>42</v>
      </c>
    </row>
    <row r="56" spans="1:10">
      <c r="A56" s="86">
        <v>55</v>
      </c>
      <c r="B56" s="87">
        <v>6.5</v>
      </c>
      <c r="C56" s="51">
        <v>2.8</v>
      </c>
      <c r="D56" s="51">
        <v>4.5999999999999996</v>
      </c>
      <c r="E56" s="51">
        <v>1.5</v>
      </c>
      <c r="F56" s="70" t="s">
        <v>80</v>
      </c>
      <c r="G56" s="71">
        <f>SQRT((Table1[[#This Row],[sepal_length]]-$L$4)^2+(Table1[[#This Row],[sepal_width]]-$M$4)^2+(Table1[[#This Row],[petal_length]]-$N$4)^2+(Table1[[#This Row],[petal_width]]-$O$4)^2)</f>
        <v>0.54083269131959844</v>
      </c>
      <c r="H56" s="52">
        <f>RANK(Table1[[#This Row],[Euclidean
Distance]],Table1[Euclidean
Distance],1)</f>
        <v>4</v>
      </c>
      <c r="I56" s="88">
        <f>ABS(Table1[[#This Row],[sepal_length]]-$L$4)+ABS(Table1[[#This Row],[sepal_width]]-$M$4)+ABS(Table1[[#This Row],[petal_length]]-$N$4)+ABS(Table1[[#This Row],[petal_width]]-$O$4)</f>
        <v>0.75</v>
      </c>
      <c r="J56" s="70">
        <f>RANK(Table1[[#This Row],[Manhattan
Distance]],Table1[Manhattan
Distance],1)</f>
        <v>1</v>
      </c>
    </row>
    <row r="57" spans="1:10">
      <c r="A57" s="86">
        <v>56</v>
      </c>
      <c r="B57" s="87">
        <v>5.7</v>
      </c>
      <c r="C57" s="51">
        <v>2.8</v>
      </c>
      <c r="D57" s="51">
        <v>4.5</v>
      </c>
      <c r="E57" s="51">
        <v>1.3</v>
      </c>
      <c r="F57" s="70" t="s">
        <v>80</v>
      </c>
      <c r="G57" s="71">
        <f>SQRT((Table1[[#This Row],[sepal_length]]-$L$4)^2+(Table1[[#This Row],[sepal_width]]-$M$4)^2+(Table1[[#This Row],[petal_length]]-$N$4)^2+(Table1[[#This Row],[petal_width]]-$O$4)^2)</f>
        <v>1.0965856099730655</v>
      </c>
      <c r="H57" s="52">
        <f>RANK(Table1[[#This Row],[Euclidean
Distance]],Table1[Euclidean
Distance],1)</f>
        <v>37</v>
      </c>
      <c r="I57" s="88">
        <f>ABS(Table1[[#This Row],[sepal_length]]-$L$4)+ABS(Table1[[#This Row],[sepal_width]]-$M$4)+ABS(Table1[[#This Row],[petal_length]]-$N$4)+ABS(Table1[[#This Row],[petal_width]]-$O$4)</f>
        <v>1.6500000000000001</v>
      </c>
      <c r="J57" s="70">
        <f>RANK(Table1[[#This Row],[Manhattan
Distance]],Table1[Manhattan
Distance],1)</f>
        <v>32</v>
      </c>
    </row>
    <row r="58" spans="1:10">
      <c r="A58" s="86">
        <v>57</v>
      </c>
      <c r="B58" s="87">
        <v>6.3</v>
      </c>
      <c r="C58" s="51">
        <v>3.3</v>
      </c>
      <c r="D58" s="51">
        <v>4.7</v>
      </c>
      <c r="E58" s="51">
        <v>1.6</v>
      </c>
      <c r="F58" s="70" t="s">
        <v>80</v>
      </c>
      <c r="G58" s="71">
        <f>SQRT((Table1[[#This Row],[sepal_length]]-$L$4)^2+(Table1[[#This Row],[sepal_width]]-$M$4)^2+(Table1[[#This Row],[petal_length]]-$N$4)^2+(Table1[[#This Row],[petal_width]]-$O$4)^2)</f>
        <v>0.91241437954473337</v>
      </c>
      <c r="H58" s="52">
        <f>RANK(Table1[[#This Row],[Euclidean
Distance]],Table1[Euclidean
Distance],1)</f>
        <v>21</v>
      </c>
      <c r="I58" s="88">
        <f>ABS(Table1[[#This Row],[sepal_length]]-$L$4)+ABS(Table1[[#This Row],[sepal_width]]-$M$4)+ABS(Table1[[#This Row],[petal_length]]-$N$4)+ABS(Table1[[#This Row],[petal_width]]-$O$4)</f>
        <v>1.6500000000000008</v>
      </c>
      <c r="J58" s="70">
        <f>RANK(Table1[[#This Row],[Manhattan
Distance]],Table1[Manhattan
Distance],1)</f>
        <v>34</v>
      </c>
    </row>
    <row r="59" spans="1:10">
      <c r="A59" s="86">
        <v>58</v>
      </c>
      <c r="B59" s="87">
        <v>4.9000000000000004</v>
      </c>
      <c r="C59" s="51">
        <v>2.4</v>
      </c>
      <c r="D59" s="51">
        <v>3.3</v>
      </c>
      <c r="E59" s="51">
        <v>1</v>
      </c>
      <c r="F59" s="70" t="s">
        <v>80</v>
      </c>
      <c r="G59" s="71">
        <f>SQRT((Table1[[#This Row],[sepal_length]]-$L$4)^2+(Table1[[#This Row],[sepal_width]]-$M$4)^2+(Table1[[#This Row],[petal_length]]-$N$4)^2+(Table1[[#This Row],[petal_width]]-$O$4)^2)</f>
        <v>2.0621590627301281</v>
      </c>
      <c r="H59" s="52">
        <f>RANK(Table1[[#This Row],[Euclidean
Distance]],Table1[Euclidean
Distance],1)</f>
        <v>90</v>
      </c>
      <c r="I59" s="88">
        <f>ABS(Table1[[#This Row],[sepal_length]]-$L$4)+ABS(Table1[[#This Row],[sepal_width]]-$M$4)+ABS(Table1[[#This Row],[petal_length]]-$N$4)+ABS(Table1[[#This Row],[petal_width]]-$O$4)</f>
        <v>3.4499999999999997</v>
      </c>
      <c r="J59" s="70">
        <f>RANK(Table1[[#This Row],[Manhattan
Distance]],Table1[Manhattan
Distance],1)</f>
        <v>89</v>
      </c>
    </row>
    <row r="60" spans="1:10">
      <c r="A60" s="86">
        <v>59</v>
      </c>
      <c r="B60" s="87">
        <v>6.6</v>
      </c>
      <c r="C60" s="51">
        <v>2.9</v>
      </c>
      <c r="D60" s="51">
        <v>4.5999999999999996</v>
      </c>
      <c r="E60" s="51">
        <v>1.3</v>
      </c>
      <c r="F60" s="70" t="s">
        <v>80</v>
      </c>
      <c r="G60" s="71">
        <f>SQRT((Table1[[#This Row],[sepal_length]]-$L$4)^2+(Table1[[#This Row],[sepal_width]]-$M$4)^2+(Table1[[#This Row],[petal_length]]-$N$4)^2+(Table1[[#This Row],[petal_width]]-$O$4)^2)</f>
        <v>0.56789083458002743</v>
      </c>
      <c r="H60" s="52">
        <f>RANK(Table1[[#This Row],[Euclidean
Distance]],Table1[Euclidean
Distance],1)</f>
        <v>5</v>
      </c>
      <c r="I60" s="88">
        <f>ABS(Table1[[#This Row],[sepal_length]]-$L$4)+ABS(Table1[[#This Row],[sepal_width]]-$M$4)+ABS(Table1[[#This Row],[petal_length]]-$N$4)+ABS(Table1[[#This Row],[petal_width]]-$O$4)</f>
        <v>0.9500000000000004</v>
      </c>
      <c r="J60" s="70">
        <f>RANK(Table1[[#This Row],[Manhattan
Distance]],Table1[Manhattan
Distance],1)</f>
        <v>7</v>
      </c>
    </row>
    <row r="61" spans="1:10">
      <c r="A61" s="86">
        <v>60</v>
      </c>
      <c r="B61" s="87">
        <v>5.2</v>
      </c>
      <c r="C61" s="51">
        <v>2.7</v>
      </c>
      <c r="D61" s="51">
        <v>3.9</v>
      </c>
      <c r="E61" s="51">
        <v>1.4</v>
      </c>
      <c r="F61" s="70" t="s">
        <v>80</v>
      </c>
      <c r="G61" s="71">
        <f>SQRT((Table1[[#This Row],[sepal_length]]-$L$4)^2+(Table1[[#This Row],[sepal_width]]-$M$4)^2+(Table1[[#This Row],[petal_length]]-$N$4)^2+(Table1[[#This Row],[petal_width]]-$O$4)^2)</f>
        <v>1.517399090549352</v>
      </c>
      <c r="H61" s="52">
        <f>RANK(Table1[[#This Row],[Euclidean
Distance]],Table1[Euclidean
Distance],1)</f>
        <v>66</v>
      </c>
      <c r="I61" s="88">
        <f>ABS(Table1[[#This Row],[sepal_length]]-$L$4)+ABS(Table1[[#This Row],[sepal_width]]-$M$4)+ABS(Table1[[#This Row],[petal_length]]-$N$4)+ABS(Table1[[#This Row],[petal_width]]-$O$4)</f>
        <v>1.8499999999999996</v>
      </c>
      <c r="J61" s="70">
        <f>RANK(Table1[[#This Row],[Manhattan
Distance]],Table1[Manhattan
Distance],1)</f>
        <v>37</v>
      </c>
    </row>
    <row r="62" spans="1:10">
      <c r="A62" s="86">
        <v>61</v>
      </c>
      <c r="B62" s="87">
        <v>5</v>
      </c>
      <c r="C62" s="51">
        <v>2</v>
      </c>
      <c r="D62" s="51">
        <v>3.5</v>
      </c>
      <c r="E62" s="51">
        <v>1</v>
      </c>
      <c r="F62" s="70" t="s">
        <v>80</v>
      </c>
      <c r="G62" s="71">
        <f>SQRT((Table1[[#This Row],[sepal_length]]-$L$4)^2+(Table1[[#This Row],[sepal_width]]-$M$4)^2+(Table1[[#This Row],[petal_length]]-$N$4)^2+(Table1[[#This Row],[petal_width]]-$O$4)^2)</f>
        <v>2.0155644370746373</v>
      </c>
      <c r="H62" s="52">
        <f>RANK(Table1[[#This Row],[Euclidean
Distance]],Table1[Euclidean
Distance],1)</f>
        <v>87</v>
      </c>
      <c r="I62" s="88">
        <f>ABS(Table1[[#This Row],[sepal_length]]-$L$4)+ABS(Table1[[#This Row],[sepal_width]]-$M$4)+ABS(Table1[[#This Row],[petal_length]]-$N$4)+ABS(Table1[[#This Row],[petal_width]]-$O$4)</f>
        <v>3.55</v>
      </c>
      <c r="J62" s="70">
        <f>RANK(Table1[[#This Row],[Manhattan
Distance]],Table1[Manhattan
Distance],1)</f>
        <v>92</v>
      </c>
    </row>
    <row r="63" spans="1:10">
      <c r="A63" s="86">
        <v>62</v>
      </c>
      <c r="B63" s="87">
        <v>5.9</v>
      </c>
      <c r="C63" s="51">
        <v>3</v>
      </c>
      <c r="D63" s="51">
        <v>4.2</v>
      </c>
      <c r="E63" s="51">
        <v>1.5</v>
      </c>
      <c r="F63" s="70" t="s">
        <v>80</v>
      </c>
      <c r="G63" s="71">
        <f>SQRT((Table1[[#This Row],[sepal_length]]-$L$4)^2+(Table1[[#This Row],[sepal_width]]-$M$4)^2+(Table1[[#This Row],[petal_length]]-$N$4)^2+(Table1[[#This Row],[petal_width]]-$O$4)^2)</f>
        <v>0.84409715080670644</v>
      </c>
      <c r="H63" s="52">
        <f>RANK(Table1[[#This Row],[Euclidean
Distance]],Table1[Euclidean
Distance],1)</f>
        <v>15</v>
      </c>
      <c r="I63" s="88">
        <f>ABS(Table1[[#This Row],[sepal_length]]-$L$4)+ABS(Table1[[#This Row],[sepal_width]]-$M$4)+ABS(Table1[[#This Row],[petal_length]]-$N$4)+ABS(Table1[[#This Row],[petal_width]]-$O$4)</f>
        <v>1.1500000000000004</v>
      </c>
      <c r="J63" s="70">
        <f>RANK(Table1[[#This Row],[Manhattan
Distance]],Table1[Manhattan
Distance],1)</f>
        <v>10</v>
      </c>
    </row>
    <row r="64" spans="1:10">
      <c r="A64" s="86">
        <v>63</v>
      </c>
      <c r="B64" s="87">
        <v>6</v>
      </c>
      <c r="C64" s="51">
        <v>2.2000000000000002</v>
      </c>
      <c r="D64" s="51">
        <v>4</v>
      </c>
      <c r="E64" s="51">
        <v>1</v>
      </c>
      <c r="F64" s="70" t="s">
        <v>80</v>
      </c>
      <c r="G64" s="71">
        <f>SQRT((Table1[[#This Row],[sepal_length]]-$L$4)^2+(Table1[[#This Row],[sepal_width]]-$M$4)^2+(Table1[[#This Row],[petal_length]]-$N$4)^2+(Table1[[#This Row],[petal_width]]-$O$4)^2)</f>
        <v>1.0259142264341596</v>
      </c>
      <c r="H64" s="52">
        <f>RANK(Table1[[#This Row],[Euclidean
Distance]],Table1[Euclidean
Distance],1)</f>
        <v>28</v>
      </c>
      <c r="I64" s="88">
        <f>ABS(Table1[[#This Row],[sepal_length]]-$L$4)+ABS(Table1[[#This Row],[sepal_width]]-$M$4)+ABS(Table1[[#This Row],[petal_length]]-$N$4)+ABS(Table1[[#This Row],[petal_width]]-$O$4)</f>
        <v>1.8499999999999996</v>
      </c>
      <c r="J64" s="70">
        <f>RANK(Table1[[#This Row],[Manhattan
Distance]],Table1[Manhattan
Distance],1)</f>
        <v>37</v>
      </c>
    </row>
    <row r="65" spans="1:10">
      <c r="A65" s="86">
        <v>64</v>
      </c>
      <c r="B65" s="87">
        <v>6.1</v>
      </c>
      <c r="C65" s="51">
        <v>2.9</v>
      </c>
      <c r="D65" s="51">
        <v>4.7</v>
      </c>
      <c r="E65" s="51">
        <v>1.4</v>
      </c>
      <c r="F65" s="70" t="s">
        <v>80</v>
      </c>
      <c r="G65" s="71">
        <f>SQRT((Table1[[#This Row],[sepal_length]]-$L$4)^2+(Table1[[#This Row],[sepal_width]]-$M$4)^2+(Table1[[#This Row],[petal_length]]-$N$4)^2+(Table1[[#This Row],[petal_width]]-$O$4)^2)</f>
        <v>0.86746757864487434</v>
      </c>
      <c r="H65" s="52">
        <f>RANK(Table1[[#This Row],[Euclidean
Distance]],Table1[Euclidean
Distance],1)</f>
        <v>17</v>
      </c>
      <c r="I65" s="88">
        <f>ABS(Table1[[#This Row],[sepal_length]]-$L$4)+ABS(Table1[[#This Row],[sepal_width]]-$M$4)+ABS(Table1[[#This Row],[petal_length]]-$N$4)+ABS(Table1[[#This Row],[petal_width]]-$O$4)</f>
        <v>1.4500000000000011</v>
      </c>
      <c r="J65" s="70">
        <f>RANK(Table1[[#This Row],[Manhattan
Distance]],Table1[Manhattan
Distance],1)</f>
        <v>26</v>
      </c>
    </row>
    <row r="66" spans="1:10">
      <c r="A66" s="86">
        <v>65</v>
      </c>
      <c r="B66" s="87">
        <v>5.6</v>
      </c>
      <c r="C66" s="51">
        <v>2.9</v>
      </c>
      <c r="D66" s="51">
        <v>3.6</v>
      </c>
      <c r="E66" s="51">
        <v>1.3</v>
      </c>
      <c r="F66" s="70" t="s">
        <v>80</v>
      </c>
      <c r="G66" s="71">
        <f>SQRT((Table1[[#This Row],[sepal_length]]-$L$4)^2+(Table1[[#This Row],[sepal_width]]-$M$4)^2+(Table1[[#This Row],[petal_length]]-$N$4)^2+(Table1[[#This Row],[petal_width]]-$O$4)^2)</f>
        <v>1.2338962679253069</v>
      </c>
      <c r="H66" s="52">
        <f>RANK(Table1[[#This Row],[Euclidean
Distance]],Table1[Euclidean
Distance],1)</f>
        <v>45</v>
      </c>
      <c r="I66" s="88">
        <f>ABS(Table1[[#This Row],[sepal_length]]-$L$4)+ABS(Table1[[#This Row],[sepal_width]]-$M$4)+ABS(Table1[[#This Row],[petal_length]]-$N$4)+ABS(Table1[[#This Row],[petal_width]]-$O$4)</f>
        <v>1.95</v>
      </c>
      <c r="J66" s="70">
        <f>RANK(Table1[[#This Row],[Manhattan
Distance]],Table1[Manhattan
Distance],1)</f>
        <v>42</v>
      </c>
    </row>
    <row r="67" spans="1:10">
      <c r="A67" s="86">
        <v>66</v>
      </c>
      <c r="B67" s="87">
        <v>6.7</v>
      </c>
      <c r="C67" s="51">
        <v>3.1</v>
      </c>
      <c r="D67" s="51">
        <v>4.4000000000000004</v>
      </c>
      <c r="E67" s="51">
        <v>1.4</v>
      </c>
      <c r="F67" s="70" t="s">
        <v>80</v>
      </c>
      <c r="G67" s="71">
        <f>SQRT((Table1[[#This Row],[sepal_length]]-$L$4)^2+(Table1[[#This Row],[sepal_width]]-$M$4)^2+(Table1[[#This Row],[petal_length]]-$N$4)^2+(Table1[[#This Row],[petal_width]]-$O$4)^2)</f>
        <v>0.47169905660283074</v>
      </c>
      <c r="H67" s="52">
        <f>RANK(Table1[[#This Row],[Euclidean
Distance]],Table1[Euclidean
Distance],1)</f>
        <v>3</v>
      </c>
      <c r="I67" s="88">
        <f>ABS(Table1[[#This Row],[sepal_length]]-$L$4)+ABS(Table1[[#This Row],[sepal_width]]-$M$4)+ABS(Table1[[#This Row],[petal_length]]-$N$4)+ABS(Table1[[#This Row],[petal_width]]-$O$4)</f>
        <v>0.75000000000000089</v>
      </c>
      <c r="J67" s="70">
        <f>RANK(Table1[[#This Row],[Manhattan
Distance]],Table1[Manhattan
Distance],1)</f>
        <v>2</v>
      </c>
    </row>
    <row r="68" spans="1:10">
      <c r="A68" s="86">
        <v>67</v>
      </c>
      <c r="B68" s="87">
        <v>5.6</v>
      </c>
      <c r="C68" s="51">
        <v>3</v>
      </c>
      <c r="D68" s="51">
        <v>4.5</v>
      </c>
      <c r="E68" s="51">
        <v>1.5</v>
      </c>
      <c r="F68" s="70" t="s">
        <v>80</v>
      </c>
      <c r="G68" s="71">
        <f>SQRT((Table1[[#This Row],[sepal_length]]-$L$4)^2+(Table1[[#This Row],[sepal_width]]-$M$4)^2+(Table1[[#This Row],[petal_length]]-$N$4)^2+(Table1[[#This Row],[petal_width]]-$O$4)^2)</f>
        <v>1.196870920358583</v>
      </c>
      <c r="H68" s="52">
        <f>RANK(Table1[[#This Row],[Euclidean
Distance]],Table1[Euclidean
Distance],1)</f>
        <v>41</v>
      </c>
      <c r="I68" s="88">
        <f>ABS(Table1[[#This Row],[sepal_length]]-$L$4)+ABS(Table1[[#This Row],[sepal_width]]-$M$4)+ABS(Table1[[#This Row],[petal_length]]-$N$4)+ABS(Table1[[#This Row],[petal_width]]-$O$4)</f>
        <v>1.7500000000000009</v>
      </c>
      <c r="J68" s="70">
        <f>RANK(Table1[[#This Row],[Manhattan
Distance]],Table1[Manhattan
Distance],1)</f>
        <v>36</v>
      </c>
    </row>
    <row r="69" spans="1:10">
      <c r="A69" s="86">
        <v>68</v>
      </c>
      <c r="B69" s="87">
        <v>5.8</v>
      </c>
      <c r="C69" s="51">
        <v>2.7</v>
      </c>
      <c r="D69" s="51">
        <v>4.0999999999999996</v>
      </c>
      <c r="E69" s="51">
        <v>1</v>
      </c>
      <c r="F69" s="70" t="s">
        <v>80</v>
      </c>
      <c r="G69" s="71">
        <f>SQRT((Table1[[#This Row],[sepal_length]]-$L$4)^2+(Table1[[#This Row],[sepal_width]]-$M$4)^2+(Table1[[#This Row],[petal_length]]-$N$4)^2+(Table1[[#This Row],[petal_width]]-$O$4)^2)</f>
        <v>1.0307764064044154</v>
      </c>
      <c r="H69" s="52">
        <f>RANK(Table1[[#This Row],[Euclidean
Distance]],Table1[Euclidean
Distance],1)</f>
        <v>29</v>
      </c>
      <c r="I69" s="88">
        <f>ABS(Table1[[#This Row],[sepal_length]]-$L$4)+ABS(Table1[[#This Row],[sepal_width]]-$M$4)+ABS(Table1[[#This Row],[petal_length]]-$N$4)+ABS(Table1[[#This Row],[petal_width]]-$O$4)</f>
        <v>1.4500000000000002</v>
      </c>
      <c r="J69" s="70">
        <f>RANK(Table1[[#This Row],[Manhattan
Distance]],Table1[Manhattan
Distance],1)</f>
        <v>19</v>
      </c>
    </row>
    <row r="70" spans="1:10">
      <c r="A70" s="86">
        <v>69</v>
      </c>
      <c r="B70" s="87">
        <v>6.2</v>
      </c>
      <c r="C70" s="51">
        <v>2.2000000000000002</v>
      </c>
      <c r="D70" s="51">
        <v>4.5</v>
      </c>
      <c r="E70" s="51">
        <v>1.5</v>
      </c>
      <c r="F70" s="70" t="s">
        <v>80</v>
      </c>
      <c r="G70" s="71">
        <f>SQRT((Table1[[#This Row],[sepal_length]]-$L$4)^2+(Table1[[#This Row],[sepal_width]]-$M$4)^2+(Table1[[#This Row],[petal_length]]-$N$4)^2+(Table1[[#This Row],[petal_width]]-$O$4)^2)</f>
        <v>0.84409715080670666</v>
      </c>
      <c r="H70" s="52">
        <f>RANK(Table1[[#This Row],[Euclidean
Distance]],Table1[Euclidean
Distance],1)</f>
        <v>16</v>
      </c>
      <c r="I70" s="88">
        <f>ABS(Table1[[#This Row],[sepal_length]]-$L$4)+ABS(Table1[[#This Row],[sepal_width]]-$M$4)+ABS(Table1[[#This Row],[petal_length]]-$N$4)+ABS(Table1[[#This Row],[petal_width]]-$O$4)</f>
        <v>1.4500000000000002</v>
      </c>
      <c r="J70" s="70">
        <f>RANK(Table1[[#This Row],[Manhattan
Distance]],Table1[Manhattan
Distance],1)</f>
        <v>19</v>
      </c>
    </row>
    <row r="71" spans="1:10">
      <c r="A71" s="86">
        <v>70</v>
      </c>
      <c r="B71" s="87">
        <v>5.6</v>
      </c>
      <c r="C71" s="51">
        <v>2.5</v>
      </c>
      <c r="D71" s="51">
        <v>3.9</v>
      </c>
      <c r="E71" s="51">
        <v>1.1000000000000001</v>
      </c>
      <c r="F71" s="70" t="s">
        <v>80</v>
      </c>
      <c r="G71" s="71">
        <f>SQRT((Table1[[#This Row],[sepal_length]]-$L$4)^2+(Table1[[#This Row],[sepal_width]]-$M$4)^2+(Table1[[#This Row],[petal_length]]-$N$4)^2+(Table1[[#This Row],[petal_width]]-$O$4)^2)</f>
        <v>1.2134661099511601</v>
      </c>
      <c r="H71" s="52">
        <f>RANK(Table1[[#This Row],[Euclidean
Distance]],Table1[Euclidean
Distance],1)</f>
        <v>42</v>
      </c>
      <c r="I71" s="88">
        <f>ABS(Table1[[#This Row],[sepal_length]]-$L$4)+ABS(Table1[[#This Row],[sepal_width]]-$M$4)+ABS(Table1[[#This Row],[petal_length]]-$N$4)+ABS(Table1[[#This Row],[petal_width]]-$O$4)</f>
        <v>1.9500000000000002</v>
      </c>
      <c r="J71" s="70">
        <f>RANK(Table1[[#This Row],[Manhattan
Distance]],Table1[Manhattan
Distance],1)</f>
        <v>44</v>
      </c>
    </row>
    <row r="72" spans="1:10">
      <c r="A72" s="86">
        <v>71</v>
      </c>
      <c r="B72" s="87">
        <v>5.9</v>
      </c>
      <c r="C72" s="51">
        <v>3.2</v>
      </c>
      <c r="D72" s="51">
        <v>4.8</v>
      </c>
      <c r="E72" s="51">
        <v>1.8</v>
      </c>
      <c r="F72" s="70" t="s">
        <v>80</v>
      </c>
      <c r="G72" s="71">
        <f>SQRT((Table1[[#This Row],[sepal_length]]-$L$4)^2+(Table1[[#This Row],[sepal_width]]-$M$4)^2+(Table1[[#This Row],[petal_length]]-$N$4)^2+(Table1[[#This Row],[petal_width]]-$O$4)^2)</f>
        <v>1.1926860441876563</v>
      </c>
      <c r="H72" s="52">
        <f>RANK(Table1[[#This Row],[Euclidean
Distance]],Table1[Euclidean
Distance],1)</f>
        <v>40</v>
      </c>
      <c r="I72" s="88">
        <f>ABS(Table1[[#This Row],[sepal_length]]-$L$4)+ABS(Table1[[#This Row],[sepal_width]]-$M$4)+ABS(Table1[[#This Row],[petal_length]]-$N$4)+ABS(Table1[[#This Row],[petal_width]]-$O$4)</f>
        <v>2.25</v>
      </c>
      <c r="J72" s="70">
        <f>RANK(Table1[[#This Row],[Manhattan
Distance]],Table1[Manhattan
Distance],1)</f>
        <v>56</v>
      </c>
    </row>
    <row r="73" spans="1:10">
      <c r="A73" s="86">
        <v>72</v>
      </c>
      <c r="B73" s="87">
        <v>6.1</v>
      </c>
      <c r="C73" s="51">
        <v>2.8</v>
      </c>
      <c r="D73" s="51">
        <v>4</v>
      </c>
      <c r="E73" s="51">
        <v>1.3</v>
      </c>
      <c r="F73" s="70" t="s">
        <v>80</v>
      </c>
      <c r="G73" s="71">
        <f>SQRT((Table1[[#This Row],[sepal_length]]-$L$4)^2+(Table1[[#This Row],[sepal_width]]-$M$4)^2+(Table1[[#This Row],[petal_length]]-$N$4)^2+(Table1[[#This Row],[petal_width]]-$O$4)^2)</f>
        <v>0.64226162893325689</v>
      </c>
      <c r="H73" s="52">
        <f>RANK(Table1[[#This Row],[Euclidean
Distance]],Table1[Euclidean
Distance],1)</f>
        <v>7</v>
      </c>
      <c r="I73" s="88">
        <f>ABS(Table1[[#This Row],[sepal_length]]-$L$4)+ABS(Table1[[#This Row],[sepal_width]]-$M$4)+ABS(Table1[[#This Row],[petal_length]]-$N$4)+ABS(Table1[[#This Row],[petal_width]]-$O$4)</f>
        <v>0.95</v>
      </c>
      <c r="J73" s="70">
        <f>RANK(Table1[[#This Row],[Manhattan
Distance]],Table1[Manhattan
Distance],1)</f>
        <v>6</v>
      </c>
    </row>
    <row r="74" spans="1:10">
      <c r="A74" s="86">
        <v>73</v>
      </c>
      <c r="B74" s="87">
        <v>6.3</v>
      </c>
      <c r="C74" s="51">
        <v>2.5</v>
      </c>
      <c r="D74" s="51">
        <v>4.9000000000000004</v>
      </c>
      <c r="E74" s="51">
        <v>1.5</v>
      </c>
      <c r="F74" s="70" t="s">
        <v>80</v>
      </c>
      <c r="G74" s="71">
        <f>SQRT((Table1[[#This Row],[sepal_length]]-$L$4)^2+(Table1[[#This Row],[sepal_width]]-$M$4)^2+(Table1[[#This Row],[petal_length]]-$N$4)^2+(Table1[[#This Row],[petal_width]]-$O$4)^2)</f>
        <v>0.92870878105033627</v>
      </c>
      <c r="H74" s="52">
        <f>RANK(Table1[[#This Row],[Euclidean
Distance]],Table1[Euclidean
Distance],1)</f>
        <v>22</v>
      </c>
      <c r="I74" s="88">
        <f>ABS(Table1[[#This Row],[sepal_length]]-$L$4)+ABS(Table1[[#This Row],[sepal_width]]-$M$4)+ABS(Table1[[#This Row],[petal_length]]-$N$4)+ABS(Table1[[#This Row],[petal_width]]-$O$4)</f>
        <v>1.4500000000000011</v>
      </c>
      <c r="J74" s="70">
        <f>RANK(Table1[[#This Row],[Manhattan
Distance]],Table1[Manhattan
Distance],1)</f>
        <v>26</v>
      </c>
    </row>
    <row r="75" spans="1:10">
      <c r="A75" s="86">
        <v>74</v>
      </c>
      <c r="B75" s="87">
        <v>6.1</v>
      </c>
      <c r="C75" s="51">
        <v>2.8</v>
      </c>
      <c r="D75" s="51">
        <v>4.7</v>
      </c>
      <c r="E75" s="51">
        <v>1.2</v>
      </c>
      <c r="F75" s="70" t="s">
        <v>80</v>
      </c>
      <c r="G75" s="71">
        <f>SQRT((Table1[[#This Row],[sepal_length]]-$L$4)^2+(Table1[[#This Row],[sepal_width]]-$M$4)^2+(Table1[[#This Row],[petal_length]]-$N$4)^2+(Table1[[#This Row],[petal_width]]-$O$4)^2)</f>
        <v>0.90138781886599806</v>
      </c>
      <c r="H75" s="52">
        <f>RANK(Table1[[#This Row],[Euclidean
Distance]],Table1[Euclidean
Distance],1)</f>
        <v>19</v>
      </c>
      <c r="I75" s="88">
        <f>ABS(Table1[[#This Row],[sepal_length]]-$L$4)+ABS(Table1[[#This Row],[sepal_width]]-$M$4)+ABS(Table1[[#This Row],[petal_length]]-$N$4)+ABS(Table1[[#This Row],[petal_width]]-$O$4)</f>
        <v>1.5500000000000009</v>
      </c>
      <c r="J75" s="70">
        <f>RANK(Table1[[#This Row],[Manhattan
Distance]],Table1[Manhattan
Distance],1)</f>
        <v>30</v>
      </c>
    </row>
    <row r="76" spans="1:10">
      <c r="A76" s="86">
        <v>75</v>
      </c>
      <c r="B76" s="87">
        <v>6.4</v>
      </c>
      <c r="C76" s="51">
        <v>2.9</v>
      </c>
      <c r="D76" s="51">
        <v>4.3</v>
      </c>
      <c r="E76" s="51">
        <v>1.3</v>
      </c>
      <c r="F76" s="70" t="s">
        <v>80</v>
      </c>
      <c r="G76" s="71">
        <f>SQRT((Table1[[#This Row],[sepal_length]]-$L$4)^2+(Table1[[#This Row],[sepal_width]]-$M$4)^2+(Table1[[#This Row],[petal_length]]-$N$4)^2+(Table1[[#This Row],[petal_width]]-$O$4)^2)</f>
        <v>0.43874821936960601</v>
      </c>
      <c r="H76" s="52">
        <f>RANK(Table1[[#This Row],[Euclidean
Distance]],Table1[Euclidean
Distance],1)</f>
        <v>2</v>
      </c>
      <c r="I76" s="88">
        <f>ABS(Table1[[#This Row],[sepal_length]]-$L$4)+ABS(Table1[[#This Row],[sepal_width]]-$M$4)+ABS(Table1[[#This Row],[petal_length]]-$N$4)+ABS(Table1[[#This Row],[petal_width]]-$O$4)</f>
        <v>0.84999999999999987</v>
      </c>
      <c r="J76" s="70">
        <f>RANK(Table1[[#This Row],[Manhattan
Distance]],Table1[Manhattan
Distance],1)</f>
        <v>4</v>
      </c>
    </row>
    <row r="77" spans="1:10">
      <c r="A77" s="86">
        <v>76</v>
      </c>
      <c r="B77" s="87">
        <v>6.6</v>
      </c>
      <c r="C77" s="51">
        <v>3</v>
      </c>
      <c r="D77" s="51">
        <v>4.4000000000000004</v>
      </c>
      <c r="E77" s="51">
        <v>1.4</v>
      </c>
      <c r="F77" s="70" t="s">
        <v>80</v>
      </c>
      <c r="G77" s="71">
        <f>SQRT((Table1[[#This Row],[sepal_length]]-$L$4)^2+(Table1[[#This Row],[sepal_width]]-$M$4)^2+(Table1[[#This Row],[petal_length]]-$N$4)^2+(Table1[[#This Row],[petal_width]]-$O$4)^2)</f>
        <v>0.41533119314590439</v>
      </c>
      <c r="H77" s="52">
        <f>RANK(Table1[[#This Row],[Euclidean
Distance]],Table1[Euclidean
Distance],1)</f>
        <v>1</v>
      </c>
      <c r="I77" s="88">
        <f>ABS(Table1[[#This Row],[sepal_length]]-$L$4)+ABS(Table1[[#This Row],[sepal_width]]-$M$4)+ABS(Table1[[#This Row],[petal_length]]-$N$4)+ABS(Table1[[#This Row],[petal_width]]-$O$4)</f>
        <v>0.75000000000000133</v>
      </c>
      <c r="J77" s="70">
        <f>RANK(Table1[[#This Row],[Manhattan
Distance]],Table1[Manhattan
Distance],1)</f>
        <v>3</v>
      </c>
    </row>
    <row r="78" spans="1:10">
      <c r="A78" s="86">
        <v>77</v>
      </c>
      <c r="B78" s="87">
        <v>6.8</v>
      </c>
      <c r="C78" s="51">
        <v>2.8</v>
      </c>
      <c r="D78" s="51">
        <v>4.8</v>
      </c>
      <c r="E78" s="51">
        <v>1.4</v>
      </c>
      <c r="F78" s="70" t="s">
        <v>80</v>
      </c>
      <c r="G78" s="71">
        <f>SQRT((Table1[[#This Row],[sepal_length]]-$L$4)^2+(Table1[[#This Row],[sepal_width]]-$M$4)^2+(Table1[[#This Row],[petal_length]]-$N$4)^2+(Table1[[#This Row],[petal_width]]-$O$4)^2)</f>
        <v>0.71589105316381774</v>
      </c>
      <c r="H78" s="52">
        <f>RANK(Table1[[#This Row],[Euclidean
Distance]],Table1[Euclidean
Distance],1)</f>
        <v>11</v>
      </c>
      <c r="I78" s="88">
        <f>ABS(Table1[[#This Row],[sepal_length]]-$L$4)+ABS(Table1[[#This Row],[sepal_width]]-$M$4)+ABS(Table1[[#This Row],[petal_length]]-$N$4)+ABS(Table1[[#This Row],[petal_width]]-$O$4)</f>
        <v>0.94999999999999973</v>
      </c>
      <c r="J78" s="70">
        <f>RANK(Table1[[#This Row],[Manhattan
Distance]],Table1[Manhattan
Distance],1)</f>
        <v>5</v>
      </c>
    </row>
    <row r="79" spans="1:10">
      <c r="A79" s="86">
        <v>78</v>
      </c>
      <c r="B79" s="87">
        <v>6.7</v>
      </c>
      <c r="C79" s="51">
        <v>3</v>
      </c>
      <c r="D79" s="51">
        <v>5</v>
      </c>
      <c r="E79" s="51">
        <v>1.7</v>
      </c>
      <c r="F79" s="70" t="s">
        <v>80</v>
      </c>
      <c r="G79" s="71">
        <f>SQRT((Table1[[#This Row],[sepal_length]]-$L$4)^2+(Table1[[#This Row],[sepal_width]]-$M$4)^2+(Table1[[#This Row],[petal_length]]-$N$4)^2+(Table1[[#This Row],[petal_width]]-$O$4)^2)</f>
        <v>0.95524865872714027</v>
      </c>
      <c r="H79" s="52">
        <f>RANK(Table1[[#This Row],[Euclidean
Distance]],Table1[Euclidean
Distance],1)</f>
        <v>24</v>
      </c>
      <c r="I79" s="88">
        <f>ABS(Table1[[#This Row],[sepal_length]]-$L$4)+ABS(Table1[[#This Row],[sepal_width]]-$M$4)+ABS(Table1[[#This Row],[petal_length]]-$N$4)+ABS(Table1[[#This Row],[petal_width]]-$O$4)</f>
        <v>1.3500000000000003</v>
      </c>
      <c r="J79" s="70">
        <f>RANK(Table1[[#This Row],[Manhattan
Distance]],Table1[Manhattan
Distance],1)</f>
        <v>14</v>
      </c>
    </row>
    <row r="80" spans="1:10">
      <c r="A80" s="86">
        <v>79</v>
      </c>
      <c r="B80" s="87">
        <v>6</v>
      </c>
      <c r="C80" s="51">
        <v>2.9</v>
      </c>
      <c r="D80" s="51">
        <v>4.5</v>
      </c>
      <c r="E80" s="51">
        <v>1.5</v>
      </c>
      <c r="F80" s="70" t="s">
        <v>80</v>
      </c>
      <c r="G80" s="71">
        <f>SQRT((Table1[[#This Row],[sepal_length]]-$L$4)^2+(Table1[[#This Row],[sepal_width]]-$M$4)^2+(Table1[[#This Row],[petal_length]]-$N$4)^2+(Table1[[#This Row],[petal_width]]-$O$4)^2)</f>
        <v>0.82006097334283656</v>
      </c>
      <c r="H80" s="52">
        <f>RANK(Table1[[#This Row],[Euclidean
Distance]],Table1[Euclidean
Distance],1)</f>
        <v>13</v>
      </c>
      <c r="I80" s="88">
        <f>ABS(Table1[[#This Row],[sepal_length]]-$L$4)+ABS(Table1[[#This Row],[sepal_width]]-$M$4)+ABS(Table1[[#This Row],[petal_length]]-$N$4)+ABS(Table1[[#This Row],[petal_width]]-$O$4)</f>
        <v>1.2500000000000004</v>
      </c>
      <c r="J80" s="70">
        <f>RANK(Table1[[#This Row],[Manhattan
Distance]],Table1[Manhattan
Distance],1)</f>
        <v>13</v>
      </c>
    </row>
    <row r="81" spans="1:10">
      <c r="A81" s="86">
        <v>80</v>
      </c>
      <c r="B81" s="87">
        <v>5.7</v>
      </c>
      <c r="C81" s="51">
        <v>2.6</v>
      </c>
      <c r="D81" s="51">
        <v>3.5</v>
      </c>
      <c r="E81" s="51">
        <v>1</v>
      </c>
      <c r="F81" s="70" t="s">
        <v>80</v>
      </c>
      <c r="G81" s="71">
        <f>SQRT((Table1[[#This Row],[sepal_length]]-$L$4)^2+(Table1[[#This Row],[sepal_width]]-$M$4)^2+(Table1[[#This Row],[petal_length]]-$N$4)^2+(Table1[[#This Row],[petal_width]]-$O$4)^2)</f>
        <v>1.2776932339180636</v>
      </c>
      <c r="H81" s="52">
        <f>RANK(Table1[[#This Row],[Euclidean
Distance]],Table1[Euclidean
Distance],1)</f>
        <v>49</v>
      </c>
      <c r="I81" s="88">
        <f>ABS(Table1[[#This Row],[sepal_length]]-$L$4)+ABS(Table1[[#This Row],[sepal_width]]-$M$4)+ABS(Table1[[#This Row],[petal_length]]-$N$4)+ABS(Table1[[#This Row],[petal_width]]-$O$4)</f>
        <v>2.2499999999999996</v>
      </c>
      <c r="J81" s="70">
        <f>RANK(Table1[[#This Row],[Manhattan
Distance]],Table1[Manhattan
Distance],1)</f>
        <v>55</v>
      </c>
    </row>
    <row r="82" spans="1:10">
      <c r="A82" s="86">
        <v>81</v>
      </c>
      <c r="B82" s="87">
        <v>5.5</v>
      </c>
      <c r="C82" s="51">
        <v>2.4</v>
      </c>
      <c r="D82" s="51">
        <v>3.8</v>
      </c>
      <c r="E82" s="51">
        <v>1.1000000000000001</v>
      </c>
      <c r="F82" s="70" t="s">
        <v>80</v>
      </c>
      <c r="G82" s="71">
        <f>SQRT((Table1[[#This Row],[sepal_length]]-$L$4)^2+(Table1[[#This Row],[sepal_width]]-$M$4)^2+(Table1[[#This Row],[petal_length]]-$N$4)^2+(Table1[[#This Row],[petal_width]]-$O$4)^2)</f>
        <v>1.3462912017836262</v>
      </c>
      <c r="H82" s="52">
        <f>RANK(Table1[[#This Row],[Euclidean
Distance]],Table1[Euclidean
Distance],1)</f>
        <v>55</v>
      </c>
      <c r="I82" s="88">
        <f>ABS(Table1[[#This Row],[sepal_length]]-$L$4)+ABS(Table1[[#This Row],[sepal_width]]-$M$4)+ABS(Table1[[#This Row],[petal_length]]-$N$4)+ABS(Table1[[#This Row],[petal_width]]-$O$4)</f>
        <v>2.25</v>
      </c>
      <c r="J82" s="70">
        <f>RANK(Table1[[#This Row],[Manhattan
Distance]],Table1[Manhattan
Distance],1)</f>
        <v>56</v>
      </c>
    </row>
    <row r="83" spans="1:10">
      <c r="A83" s="86">
        <v>82</v>
      </c>
      <c r="B83" s="87">
        <v>5.5</v>
      </c>
      <c r="C83" s="51">
        <v>2.4</v>
      </c>
      <c r="D83" s="51">
        <v>3.7</v>
      </c>
      <c r="E83" s="51">
        <v>1</v>
      </c>
      <c r="F83" s="70" t="s">
        <v>80</v>
      </c>
      <c r="G83" s="71">
        <f>SQRT((Table1[[#This Row],[sepal_length]]-$L$4)^2+(Table1[[#This Row],[sepal_width]]-$M$4)^2+(Table1[[#This Row],[petal_length]]-$N$4)^2+(Table1[[#This Row],[petal_width]]-$O$4)^2)</f>
        <v>1.4044571905188139</v>
      </c>
      <c r="H83" s="52">
        <f>RANK(Table1[[#This Row],[Euclidean
Distance]],Table1[Euclidean
Distance],1)</f>
        <v>58</v>
      </c>
      <c r="I83" s="88">
        <f>ABS(Table1[[#This Row],[sepal_length]]-$L$4)+ABS(Table1[[#This Row],[sepal_width]]-$M$4)+ABS(Table1[[#This Row],[petal_length]]-$N$4)+ABS(Table1[[#This Row],[petal_width]]-$O$4)</f>
        <v>2.4499999999999997</v>
      </c>
      <c r="J83" s="70">
        <f>RANK(Table1[[#This Row],[Manhattan
Distance]],Table1[Manhattan
Distance],1)</f>
        <v>67</v>
      </c>
    </row>
    <row r="84" spans="1:10">
      <c r="A84" s="86">
        <v>83</v>
      </c>
      <c r="B84" s="87">
        <v>5.8</v>
      </c>
      <c r="C84" s="51">
        <v>2.7</v>
      </c>
      <c r="D84" s="51">
        <v>3.9</v>
      </c>
      <c r="E84" s="51">
        <v>1.2</v>
      </c>
      <c r="F84" s="70" t="s">
        <v>80</v>
      </c>
      <c r="G84" s="71">
        <f>SQRT((Table1[[#This Row],[sepal_length]]-$L$4)^2+(Table1[[#This Row],[sepal_width]]-$M$4)^2+(Table1[[#This Row],[petal_length]]-$N$4)^2+(Table1[[#This Row],[petal_width]]-$O$4)^2)</f>
        <v>0.97082439194738024</v>
      </c>
      <c r="H84" s="52">
        <f>RANK(Table1[[#This Row],[Euclidean
Distance]],Table1[Euclidean
Distance],1)</f>
        <v>26</v>
      </c>
      <c r="I84" s="88">
        <f>ABS(Table1[[#This Row],[sepal_length]]-$L$4)+ABS(Table1[[#This Row],[sepal_width]]-$M$4)+ABS(Table1[[#This Row],[petal_length]]-$N$4)+ABS(Table1[[#This Row],[petal_width]]-$O$4)</f>
        <v>1.45</v>
      </c>
      <c r="J84" s="70">
        <f>RANK(Table1[[#This Row],[Manhattan
Distance]],Table1[Manhattan
Distance],1)</f>
        <v>17</v>
      </c>
    </row>
    <row r="85" spans="1:10">
      <c r="A85" s="86">
        <v>84</v>
      </c>
      <c r="B85" s="87">
        <v>6</v>
      </c>
      <c r="C85" s="51">
        <v>2.7</v>
      </c>
      <c r="D85" s="51">
        <v>5.0999999999999996</v>
      </c>
      <c r="E85" s="51">
        <v>1.6</v>
      </c>
      <c r="F85" s="70" t="s">
        <v>80</v>
      </c>
      <c r="G85" s="71">
        <f>SQRT((Table1[[#This Row],[sepal_length]]-$L$4)^2+(Table1[[#This Row],[sepal_width]]-$M$4)^2+(Table1[[#This Row],[petal_length]]-$N$4)^2+(Table1[[#This Row],[petal_width]]-$O$4)^2)</f>
        <v>1.2257650672131264</v>
      </c>
      <c r="H85" s="52">
        <f>RANK(Table1[[#This Row],[Euclidean
Distance]],Table1[Euclidean
Distance],1)</f>
        <v>44</v>
      </c>
      <c r="I85" s="88">
        <f>ABS(Table1[[#This Row],[sepal_length]]-$L$4)+ABS(Table1[[#This Row],[sepal_width]]-$M$4)+ABS(Table1[[#This Row],[petal_length]]-$N$4)+ABS(Table1[[#This Row],[petal_width]]-$O$4)</f>
        <v>1.85</v>
      </c>
      <c r="J85" s="70">
        <f>RANK(Table1[[#This Row],[Manhattan
Distance]],Table1[Manhattan
Distance],1)</f>
        <v>39</v>
      </c>
    </row>
    <row r="86" spans="1:10">
      <c r="A86" s="86">
        <v>85</v>
      </c>
      <c r="B86" s="87">
        <v>5.4</v>
      </c>
      <c r="C86" s="51">
        <v>3</v>
      </c>
      <c r="D86" s="51">
        <v>4.5</v>
      </c>
      <c r="E86" s="51">
        <v>1.5</v>
      </c>
      <c r="F86" s="70" t="s">
        <v>80</v>
      </c>
      <c r="G86" s="71">
        <f>SQRT((Table1[[#This Row],[sepal_length]]-$L$4)^2+(Table1[[#This Row],[sepal_width]]-$M$4)^2+(Table1[[#This Row],[petal_length]]-$N$4)^2+(Table1[[#This Row],[petal_width]]-$O$4)^2)</f>
        <v>1.382931668593933</v>
      </c>
      <c r="H86" s="52">
        <f>RANK(Table1[[#This Row],[Euclidean
Distance]],Table1[Euclidean
Distance],1)</f>
        <v>56</v>
      </c>
      <c r="I86" s="88">
        <f>ABS(Table1[[#This Row],[sepal_length]]-$L$4)+ABS(Table1[[#This Row],[sepal_width]]-$M$4)+ABS(Table1[[#This Row],[petal_length]]-$N$4)+ABS(Table1[[#This Row],[petal_width]]-$O$4)</f>
        <v>1.9500000000000002</v>
      </c>
      <c r="J86" s="70">
        <f>RANK(Table1[[#This Row],[Manhattan
Distance]],Table1[Manhattan
Distance],1)</f>
        <v>44</v>
      </c>
    </row>
    <row r="87" spans="1:10">
      <c r="A87" s="86">
        <v>86</v>
      </c>
      <c r="B87" s="87">
        <v>6</v>
      </c>
      <c r="C87" s="51">
        <v>3.4</v>
      </c>
      <c r="D87" s="51">
        <v>4.5</v>
      </c>
      <c r="E87" s="51">
        <v>1.6</v>
      </c>
      <c r="F87" s="70" t="s">
        <v>80</v>
      </c>
      <c r="G87" s="71">
        <f>SQRT((Table1[[#This Row],[sepal_length]]-$L$4)^2+(Table1[[#This Row],[sepal_width]]-$M$4)^2+(Table1[[#This Row],[petal_length]]-$N$4)^2+(Table1[[#This Row],[petal_width]]-$O$4)^2)</f>
        <v>1.0404326023342407</v>
      </c>
      <c r="H87" s="52">
        <f>RANK(Table1[[#This Row],[Euclidean
Distance]],Table1[Euclidean
Distance],1)</f>
        <v>31</v>
      </c>
      <c r="I87" s="88">
        <f>ABS(Table1[[#This Row],[sepal_length]]-$L$4)+ABS(Table1[[#This Row],[sepal_width]]-$M$4)+ABS(Table1[[#This Row],[petal_length]]-$N$4)+ABS(Table1[[#This Row],[petal_width]]-$O$4)</f>
        <v>1.8500000000000005</v>
      </c>
      <c r="J87" s="70">
        <f>RANK(Table1[[#This Row],[Manhattan
Distance]],Table1[Manhattan
Distance],1)</f>
        <v>40</v>
      </c>
    </row>
    <row r="88" spans="1:10">
      <c r="A88" s="86">
        <v>87</v>
      </c>
      <c r="B88" s="87">
        <v>6.7</v>
      </c>
      <c r="C88" s="51">
        <v>3.1</v>
      </c>
      <c r="D88" s="51">
        <v>4.7</v>
      </c>
      <c r="E88" s="51">
        <v>1.5</v>
      </c>
      <c r="F88" s="70" t="s">
        <v>80</v>
      </c>
      <c r="G88" s="71">
        <f>SQRT((Table1[[#This Row],[sepal_length]]-$L$4)^2+(Table1[[#This Row],[sepal_width]]-$M$4)^2+(Table1[[#This Row],[petal_length]]-$N$4)^2+(Table1[[#This Row],[petal_width]]-$O$4)^2)</f>
        <v>0.69462219947249071</v>
      </c>
      <c r="H88" s="52">
        <f>RANK(Table1[[#This Row],[Euclidean
Distance]],Table1[Euclidean
Distance],1)</f>
        <v>9</v>
      </c>
      <c r="I88" s="88">
        <f>ABS(Table1[[#This Row],[sepal_length]]-$L$4)+ABS(Table1[[#This Row],[sepal_width]]-$M$4)+ABS(Table1[[#This Row],[petal_length]]-$N$4)+ABS(Table1[[#This Row],[petal_width]]-$O$4)</f>
        <v>0.95000000000000062</v>
      </c>
      <c r="J88" s="70">
        <f>RANK(Table1[[#This Row],[Manhattan
Distance]],Table1[Manhattan
Distance],1)</f>
        <v>8</v>
      </c>
    </row>
    <row r="89" spans="1:10">
      <c r="A89" s="86">
        <v>88</v>
      </c>
      <c r="B89" s="87">
        <v>6.3</v>
      </c>
      <c r="C89" s="51">
        <v>2.2999999999999998</v>
      </c>
      <c r="D89" s="51">
        <v>4.4000000000000004</v>
      </c>
      <c r="E89" s="51">
        <v>1.3</v>
      </c>
      <c r="F89" s="70" t="s">
        <v>80</v>
      </c>
      <c r="G89" s="71">
        <f>SQRT((Table1[[#This Row],[sepal_length]]-$L$4)^2+(Table1[[#This Row],[sepal_width]]-$M$4)^2+(Table1[[#This Row],[petal_length]]-$N$4)^2+(Table1[[#This Row],[petal_width]]-$O$4)^2)</f>
        <v>0.70178344238091062</v>
      </c>
      <c r="H89" s="52">
        <f>RANK(Table1[[#This Row],[Euclidean
Distance]],Table1[Euclidean
Distance],1)</f>
        <v>10</v>
      </c>
      <c r="I89" s="88">
        <f>ABS(Table1[[#This Row],[sepal_length]]-$L$4)+ABS(Table1[[#This Row],[sepal_width]]-$M$4)+ABS(Table1[[#This Row],[petal_length]]-$N$4)+ABS(Table1[[#This Row],[petal_width]]-$O$4)</f>
        <v>1.3500000000000012</v>
      </c>
      <c r="J89" s="70">
        <f>RANK(Table1[[#This Row],[Manhattan
Distance]],Table1[Manhattan
Distance],1)</f>
        <v>16</v>
      </c>
    </row>
    <row r="90" spans="1:10">
      <c r="A90" s="86">
        <v>89</v>
      </c>
      <c r="B90" s="87">
        <v>5.6</v>
      </c>
      <c r="C90" s="51">
        <v>3</v>
      </c>
      <c r="D90" s="51">
        <v>4.0999999999999996</v>
      </c>
      <c r="E90" s="51">
        <v>1.3</v>
      </c>
      <c r="F90" s="70" t="s">
        <v>80</v>
      </c>
      <c r="G90" s="71">
        <f>SQRT((Table1[[#This Row],[sepal_length]]-$L$4)^2+(Table1[[#This Row],[sepal_width]]-$M$4)^2+(Table1[[#This Row],[petal_length]]-$N$4)^2+(Table1[[#This Row],[petal_width]]-$O$4)^2)</f>
        <v>1.1456439237389604</v>
      </c>
      <c r="H90" s="52">
        <f>RANK(Table1[[#This Row],[Euclidean
Distance]],Table1[Euclidean
Distance],1)</f>
        <v>39</v>
      </c>
      <c r="I90" s="88">
        <f>ABS(Table1[[#This Row],[sepal_length]]-$L$4)+ABS(Table1[[#This Row],[sepal_width]]-$M$4)+ABS(Table1[[#This Row],[petal_length]]-$N$4)+ABS(Table1[[#This Row],[petal_width]]-$O$4)</f>
        <v>1.5500000000000005</v>
      </c>
      <c r="J90" s="70">
        <f>RANK(Table1[[#This Row],[Manhattan
Distance]],Table1[Manhattan
Distance],1)</f>
        <v>29</v>
      </c>
    </row>
    <row r="91" spans="1:10">
      <c r="A91" s="86">
        <v>90</v>
      </c>
      <c r="B91" s="87">
        <v>5.5</v>
      </c>
      <c r="C91" s="51">
        <v>2.5</v>
      </c>
      <c r="D91" s="51">
        <v>4</v>
      </c>
      <c r="E91" s="51">
        <v>1.3</v>
      </c>
      <c r="F91" s="70" t="s">
        <v>80</v>
      </c>
      <c r="G91" s="71">
        <f>SQRT((Table1[[#This Row],[sepal_length]]-$L$4)^2+(Table1[[#This Row],[sepal_width]]-$M$4)^2+(Table1[[#This Row],[petal_length]]-$N$4)^2+(Table1[[#This Row],[petal_width]]-$O$4)^2)</f>
        <v>1.2459935794377115</v>
      </c>
      <c r="H91" s="52">
        <f>RANK(Table1[[#This Row],[Euclidean
Distance]],Table1[Euclidean
Distance],1)</f>
        <v>46</v>
      </c>
      <c r="I91" s="88">
        <f>ABS(Table1[[#This Row],[sepal_length]]-$L$4)+ABS(Table1[[#This Row],[sepal_width]]-$M$4)+ABS(Table1[[#This Row],[petal_length]]-$N$4)+ABS(Table1[[#This Row],[petal_width]]-$O$4)</f>
        <v>1.7499999999999998</v>
      </c>
      <c r="J91" s="70">
        <f>RANK(Table1[[#This Row],[Manhattan
Distance]],Table1[Manhattan
Distance],1)</f>
        <v>35</v>
      </c>
    </row>
    <row r="92" spans="1:10">
      <c r="A92" s="86">
        <v>91</v>
      </c>
      <c r="B92" s="87">
        <v>5.5</v>
      </c>
      <c r="C92" s="51">
        <v>2.6</v>
      </c>
      <c r="D92" s="51">
        <v>4.4000000000000004</v>
      </c>
      <c r="E92" s="51">
        <v>1.2</v>
      </c>
      <c r="F92" s="70" t="s">
        <v>80</v>
      </c>
      <c r="G92" s="71">
        <f>SQRT((Table1[[#This Row],[sepal_length]]-$L$4)^2+(Table1[[#This Row],[sepal_width]]-$M$4)^2+(Table1[[#This Row],[petal_length]]-$N$4)^2+(Table1[[#This Row],[petal_width]]-$O$4)^2)</f>
        <v>1.28160056179763</v>
      </c>
      <c r="H92" s="52">
        <f>RANK(Table1[[#This Row],[Euclidean
Distance]],Table1[Euclidean
Distance],1)</f>
        <v>50</v>
      </c>
      <c r="I92" s="88">
        <f>ABS(Table1[[#This Row],[sepal_length]]-$L$4)+ABS(Table1[[#This Row],[sepal_width]]-$M$4)+ABS(Table1[[#This Row],[petal_length]]-$N$4)+ABS(Table1[[#This Row],[petal_width]]-$O$4)</f>
        <v>1.9500000000000008</v>
      </c>
      <c r="J92" s="70">
        <f>RANK(Table1[[#This Row],[Manhattan
Distance]],Table1[Manhattan
Distance],1)</f>
        <v>48</v>
      </c>
    </row>
    <row r="93" spans="1:10">
      <c r="A93" s="86">
        <v>92</v>
      </c>
      <c r="B93" s="87">
        <v>6.1</v>
      </c>
      <c r="C93" s="51">
        <v>3</v>
      </c>
      <c r="D93" s="51">
        <v>4.5999999999999996</v>
      </c>
      <c r="E93" s="51">
        <v>1.4</v>
      </c>
      <c r="F93" s="70" t="s">
        <v>80</v>
      </c>
      <c r="G93" s="71">
        <f>SQRT((Table1[[#This Row],[sepal_length]]-$L$4)^2+(Table1[[#This Row],[sepal_width]]-$M$4)^2+(Table1[[#This Row],[petal_length]]-$N$4)^2+(Table1[[#This Row],[petal_width]]-$O$4)^2)</f>
        <v>0.82613558209291571</v>
      </c>
      <c r="H93" s="52">
        <f>RANK(Table1[[#This Row],[Euclidean
Distance]],Table1[Euclidean
Distance],1)</f>
        <v>14</v>
      </c>
      <c r="I93" s="88">
        <f>ABS(Table1[[#This Row],[sepal_length]]-$L$4)+ABS(Table1[[#This Row],[sepal_width]]-$M$4)+ABS(Table1[[#This Row],[petal_length]]-$N$4)+ABS(Table1[[#This Row],[petal_width]]-$O$4)</f>
        <v>1.4500000000000006</v>
      </c>
      <c r="J93" s="70">
        <f>RANK(Table1[[#This Row],[Manhattan
Distance]],Table1[Manhattan
Distance],1)</f>
        <v>23</v>
      </c>
    </row>
    <row r="94" spans="1:10">
      <c r="A94" s="86">
        <v>93</v>
      </c>
      <c r="B94" s="87">
        <v>5.8</v>
      </c>
      <c r="C94" s="51">
        <v>2.6</v>
      </c>
      <c r="D94" s="51">
        <v>4</v>
      </c>
      <c r="E94" s="51">
        <v>1.2</v>
      </c>
      <c r="F94" s="70" t="s">
        <v>80</v>
      </c>
      <c r="G94" s="71">
        <f>SQRT((Table1[[#This Row],[sepal_length]]-$L$4)^2+(Table1[[#This Row],[sepal_width]]-$M$4)^2+(Table1[[#This Row],[petal_length]]-$N$4)^2+(Table1[[#This Row],[petal_width]]-$O$4)^2)</f>
        <v>0.96566039579139862</v>
      </c>
      <c r="H94" s="52">
        <f>RANK(Table1[[#This Row],[Euclidean
Distance]],Table1[Euclidean
Distance],1)</f>
        <v>25</v>
      </c>
      <c r="I94" s="88">
        <f>ABS(Table1[[#This Row],[sepal_length]]-$L$4)+ABS(Table1[[#This Row],[sepal_width]]-$M$4)+ABS(Table1[[#This Row],[petal_length]]-$N$4)+ABS(Table1[[#This Row],[petal_width]]-$O$4)</f>
        <v>1.45</v>
      </c>
      <c r="J94" s="70">
        <f>RANK(Table1[[#This Row],[Manhattan
Distance]],Table1[Manhattan
Distance],1)</f>
        <v>17</v>
      </c>
    </row>
    <row r="95" spans="1:10">
      <c r="A95" s="86">
        <v>94</v>
      </c>
      <c r="B95" s="87">
        <v>5</v>
      </c>
      <c r="C95" s="51">
        <v>2.2999999999999998</v>
      </c>
      <c r="D95" s="51">
        <v>3.3</v>
      </c>
      <c r="E95" s="51">
        <v>1</v>
      </c>
      <c r="F95" s="70" t="s">
        <v>80</v>
      </c>
      <c r="G95" s="71">
        <f>SQRT((Table1[[#This Row],[sepal_length]]-$L$4)^2+(Table1[[#This Row],[sepal_width]]-$M$4)^2+(Table1[[#This Row],[petal_length]]-$N$4)^2+(Table1[[#This Row],[petal_width]]-$O$4)^2)</f>
        <v>1.9956202043475106</v>
      </c>
      <c r="H95" s="52">
        <f>RANK(Table1[[#This Row],[Euclidean
Distance]],Table1[Euclidean
Distance],1)</f>
        <v>85</v>
      </c>
      <c r="I95" s="88">
        <f>ABS(Table1[[#This Row],[sepal_length]]-$L$4)+ABS(Table1[[#This Row],[sepal_width]]-$M$4)+ABS(Table1[[#This Row],[petal_length]]-$N$4)+ABS(Table1[[#This Row],[petal_width]]-$O$4)</f>
        <v>3.45</v>
      </c>
      <c r="J95" s="70">
        <f>RANK(Table1[[#This Row],[Manhattan
Distance]],Table1[Manhattan
Distance],1)</f>
        <v>90</v>
      </c>
    </row>
    <row r="96" spans="1:10">
      <c r="A96" s="86">
        <v>95</v>
      </c>
      <c r="B96" s="87">
        <v>5.6</v>
      </c>
      <c r="C96" s="51">
        <v>2.7</v>
      </c>
      <c r="D96" s="51">
        <v>4.2</v>
      </c>
      <c r="E96" s="51">
        <v>1.3</v>
      </c>
      <c r="F96" s="70" t="s">
        <v>80</v>
      </c>
      <c r="G96" s="71">
        <f>SQRT((Table1[[#This Row],[sepal_length]]-$L$4)^2+(Table1[[#This Row],[sepal_width]]-$M$4)^2+(Table1[[#This Row],[petal_length]]-$N$4)^2+(Table1[[#This Row],[petal_width]]-$O$4)^2)</f>
        <v>1.123610252712212</v>
      </c>
      <c r="H96" s="52">
        <f>RANK(Table1[[#This Row],[Euclidean
Distance]],Table1[Euclidean
Distance],1)</f>
        <v>38</v>
      </c>
      <c r="I96" s="88">
        <f>ABS(Table1[[#This Row],[sepal_length]]-$L$4)+ABS(Table1[[#This Row],[sepal_width]]-$M$4)+ABS(Table1[[#This Row],[petal_length]]-$N$4)+ABS(Table1[[#This Row],[petal_width]]-$O$4)</f>
        <v>1.4500000000000008</v>
      </c>
      <c r="J96" s="70">
        <f>RANK(Table1[[#This Row],[Manhattan
Distance]],Table1[Manhattan
Distance],1)</f>
        <v>25</v>
      </c>
    </row>
    <row r="97" spans="1:10">
      <c r="A97" s="86">
        <v>96</v>
      </c>
      <c r="B97" s="87">
        <v>5.7</v>
      </c>
      <c r="C97" s="51">
        <v>3</v>
      </c>
      <c r="D97" s="51">
        <v>4.2</v>
      </c>
      <c r="E97" s="51">
        <v>1.2</v>
      </c>
      <c r="F97" s="70" t="s">
        <v>80</v>
      </c>
      <c r="G97" s="71">
        <f>SQRT((Table1[[#This Row],[sepal_length]]-$L$4)^2+(Table1[[#This Row],[sepal_width]]-$M$4)^2+(Table1[[#This Row],[petal_length]]-$N$4)^2+(Table1[[#This Row],[petal_width]]-$O$4)^2)</f>
        <v>1.0781929326423914</v>
      </c>
      <c r="H97" s="52">
        <f>RANK(Table1[[#This Row],[Euclidean
Distance]],Table1[Euclidean
Distance],1)</f>
        <v>34</v>
      </c>
      <c r="I97" s="88">
        <f>ABS(Table1[[#This Row],[sepal_length]]-$L$4)+ABS(Table1[[#This Row],[sepal_width]]-$M$4)+ABS(Table1[[#This Row],[petal_length]]-$N$4)+ABS(Table1[[#This Row],[petal_width]]-$O$4)</f>
        <v>1.6500000000000006</v>
      </c>
      <c r="J97" s="70">
        <f>RANK(Table1[[#This Row],[Manhattan
Distance]],Table1[Manhattan
Distance],1)</f>
        <v>33</v>
      </c>
    </row>
    <row r="98" spans="1:10">
      <c r="A98" s="86">
        <v>97</v>
      </c>
      <c r="B98" s="87">
        <v>5.7</v>
      </c>
      <c r="C98" s="51">
        <v>2.9</v>
      </c>
      <c r="D98" s="51">
        <v>4.2</v>
      </c>
      <c r="E98" s="51">
        <v>1.3</v>
      </c>
      <c r="F98" s="70" t="s">
        <v>80</v>
      </c>
      <c r="G98" s="71">
        <f>SQRT((Table1[[#This Row],[sepal_length]]-$L$4)^2+(Table1[[#This Row],[sepal_width]]-$M$4)^2+(Table1[[#This Row],[petal_length]]-$N$4)^2+(Table1[[#This Row],[petal_width]]-$O$4)^2)</f>
        <v>1.0356157588603989</v>
      </c>
      <c r="H98" s="52">
        <f>RANK(Table1[[#This Row],[Euclidean
Distance]],Table1[Euclidean
Distance],1)</f>
        <v>30</v>
      </c>
      <c r="I98" s="88">
        <f>ABS(Table1[[#This Row],[sepal_length]]-$L$4)+ABS(Table1[[#This Row],[sepal_width]]-$M$4)+ABS(Table1[[#This Row],[petal_length]]-$N$4)+ABS(Table1[[#This Row],[petal_width]]-$O$4)</f>
        <v>1.4500000000000004</v>
      </c>
      <c r="J98" s="70">
        <f>RANK(Table1[[#This Row],[Manhattan
Distance]],Table1[Manhattan
Distance],1)</f>
        <v>22</v>
      </c>
    </row>
    <row r="99" spans="1:10">
      <c r="A99" s="86">
        <v>98</v>
      </c>
      <c r="B99" s="87">
        <v>6.2</v>
      </c>
      <c r="C99" s="51">
        <v>2.9</v>
      </c>
      <c r="D99" s="51">
        <v>4.3</v>
      </c>
      <c r="E99" s="51">
        <v>1.3</v>
      </c>
      <c r="F99" s="70" t="s">
        <v>80</v>
      </c>
      <c r="G99" s="71">
        <f>SQRT((Table1[[#This Row],[sepal_length]]-$L$4)^2+(Table1[[#This Row],[sepal_width]]-$M$4)^2+(Table1[[#This Row],[petal_length]]-$N$4)^2+(Table1[[#This Row],[petal_width]]-$O$4)^2)</f>
        <v>0.59371710435189584</v>
      </c>
      <c r="H99" s="52">
        <f>RANK(Table1[[#This Row],[Euclidean
Distance]],Table1[Euclidean
Distance],1)</f>
        <v>6</v>
      </c>
      <c r="I99" s="88">
        <f>ABS(Table1[[#This Row],[sepal_length]]-$L$4)+ABS(Table1[[#This Row],[sepal_width]]-$M$4)+ABS(Table1[[#This Row],[petal_length]]-$N$4)+ABS(Table1[[#This Row],[petal_width]]-$O$4)</f>
        <v>1.05</v>
      </c>
      <c r="J99" s="70">
        <f>RANK(Table1[[#This Row],[Manhattan
Distance]],Table1[Manhattan
Distance],1)</f>
        <v>9</v>
      </c>
    </row>
    <row r="100" spans="1:10">
      <c r="A100" s="86">
        <v>99</v>
      </c>
      <c r="B100" s="87">
        <v>5.0999999999999996</v>
      </c>
      <c r="C100" s="51">
        <v>2.5</v>
      </c>
      <c r="D100" s="51">
        <v>3</v>
      </c>
      <c r="E100" s="51">
        <v>1.1000000000000001</v>
      </c>
      <c r="F100" s="70" t="s">
        <v>80</v>
      </c>
      <c r="G100" s="71">
        <f>SQRT((Table1[[#This Row],[sepal_length]]-$L$4)^2+(Table1[[#This Row],[sepal_width]]-$M$4)^2+(Table1[[#This Row],[petal_length]]-$N$4)^2+(Table1[[#This Row],[petal_width]]-$O$4)^2)</f>
        <v>1.9981241202688089</v>
      </c>
      <c r="H100" s="52">
        <f>RANK(Table1[[#This Row],[Euclidean
Distance]],Table1[Euclidean
Distance],1)</f>
        <v>86</v>
      </c>
      <c r="I100" s="88">
        <f>ABS(Table1[[#This Row],[sepal_length]]-$L$4)+ABS(Table1[[#This Row],[sepal_width]]-$M$4)+ABS(Table1[[#This Row],[petal_length]]-$N$4)+ABS(Table1[[#This Row],[petal_width]]-$O$4)</f>
        <v>3.35</v>
      </c>
      <c r="J100" s="70">
        <f>RANK(Table1[[#This Row],[Manhattan
Distance]],Table1[Manhattan
Distance],1)</f>
        <v>88</v>
      </c>
    </row>
    <row r="101" spans="1:10">
      <c r="A101" s="86">
        <v>100</v>
      </c>
      <c r="B101" s="87">
        <v>5.7</v>
      </c>
      <c r="C101" s="51">
        <v>2.8</v>
      </c>
      <c r="D101" s="51">
        <v>4.0999999999999996</v>
      </c>
      <c r="E101" s="51">
        <v>1.3</v>
      </c>
      <c r="F101" s="70" t="s">
        <v>80</v>
      </c>
      <c r="G101" s="71">
        <f>SQRT((Table1[[#This Row],[sepal_length]]-$L$4)^2+(Table1[[#This Row],[sepal_width]]-$M$4)^2+(Table1[[#This Row],[petal_length]]-$N$4)^2+(Table1[[#This Row],[petal_width]]-$O$4)^2)</f>
        <v>1.0210288928331068</v>
      </c>
      <c r="H101" s="52">
        <f>RANK(Table1[[#This Row],[Euclidean
Distance]],Table1[Euclidean
Distance],1)</f>
        <v>27</v>
      </c>
      <c r="I101" s="88">
        <f>ABS(Table1[[#This Row],[sepal_length]]-$L$4)+ABS(Table1[[#This Row],[sepal_width]]-$M$4)+ABS(Table1[[#This Row],[petal_length]]-$N$4)+ABS(Table1[[#This Row],[petal_width]]-$O$4)</f>
        <v>1.2499999999999998</v>
      </c>
      <c r="J101" s="70">
        <f>RANK(Table1[[#This Row],[Manhattan
Distance]],Table1[Manhattan
Distance],1)</f>
        <v>12</v>
      </c>
    </row>
    <row r="102" spans="1:10">
      <c r="A102" s="86">
        <v>101</v>
      </c>
      <c r="B102" s="87">
        <v>6.3</v>
      </c>
      <c r="C102" s="51">
        <v>3.3</v>
      </c>
      <c r="D102" s="51">
        <v>6</v>
      </c>
      <c r="E102" s="51">
        <v>2.5</v>
      </c>
      <c r="F102" s="70" t="s">
        <v>81</v>
      </c>
      <c r="G102" s="71">
        <f>SQRT((Table1[[#This Row],[sepal_length]]-$L$4)^2+(Table1[[#This Row],[sepal_width]]-$M$4)^2+(Table1[[#This Row],[petal_length]]-$N$4)^2+(Table1[[#This Row],[petal_width]]-$O$4)^2)</f>
        <v>2.2522211259110421</v>
      </c>
      <c r="H102" s="52">
        <f>RANK(Table1[[#This Row],[Euclidean
Distance]],Table1[Euclidean
Distance],1)</f>
        <v>92</v>
      </c>
      <c r="I102" s="88">
        <f>ABS(Table1[[#This Row],[sepal_length]]-$L$4)+ABS(Table1[[#This Row],[sepal_width]]-$M$4)+ABS(Table1[[#This Row],[petal_length]]-$N$4)+ABS(Table1[[#This Row],[petal_width]]-$O$4)</f>
        <v>3.8500000000000005</v>
      </c>
      <c r="J102" s="70">
        <f>RANK(Table1[[#This Row],[Manhattan
Distance]],Table1[Manhattan
Distance],1)</f>
        <v>93</v>
      </c>
    </row>
    <row r="103" spans="1:10">
      <c r="A103" s="86">
        <v>102</v>
      </c>
      <c r="B103" s="87">
        <v>5.8</v>
      </c>
      <c r="C103" s="51">
        <v>2.7</v>
      </c>
      <c r="D103" s="51">
        <v>5.0999999999999996</v>
      </c>
      <c r="E103" s="51">
        <v>1.9</v>
      </c>
      <c r="F103" s="70" t="s">
        <v>81</v>
      </c>
      <c r="G103" s="71">
        <f>SQRT((Table1[[#This Row],[sepal_length]]-$L$4)^2+(Table1[[#This Row],[sepal_width]]-$M$4)^2+(Table1[[#This Row],[petal_length]]-$N$4)^2+(Table1[[#This Row],[petal_width]]-$O$4)^2)</f>
        <v>1.4044571905188141</v>
      </c>
      <c r="H103" s="52">
        <f>RANK(Table1[[#This Row],[Euclidean
Distance]],Table1[Euclidean
Distance],1)</f>
        <v>59</v>
      </c>
      <c r="I103" s="88">
        <f>ABS(Table1[[#This Row],[sepal_length]]-$L$4)+ABS(Table1[[#This Row],[sepal_width]]-$M$4)+ABS(Table1[[#This Row],[petal_length]]-$N$4)+ABS(Table1[[#This Row],[petal_width]]-$O$4)</f>
        <v>2.35</v>
      </c>
      <c r="J103" s="70">
        <f>RANK(Table1[[#This Row],[Manhattan
Distance]],Table1[Manhattan
Distance],1)</f>
        <v>60</v>
      </c>
    </row>
    <row r="104" spans="1:10">
      <c r="A104" s="86">
        <v>103</v>
      </c>
      <c r="B104" s="87">
        <v>7.1</v>
      </c>
      <c r="C104" s="51">
        <v>3</v>
      </c>
      <c r="D104" s="51">
        <v>5.9</v>
      </c>
      <c r="E104" s="51">
        <v>2.1</v>
      </c>
      <c r="F104" s="70" t="s">
        <v>81</v>
      </c>
      <c r="G104" s="71">
        <f>SQRT((Table1[[#This Row],[sepal_length]]-$L$4)^2+(Table1[[#This Row],[sepal_width]]-$M$4)^2+(Table1[[#This Row],[petal_length]]-$N$4)^2+(Table1[[#This Row],[petal_width]]-$O$4)^2)</f>
        <v>1.9551214796017158</v>
      </c>
      <c r="H104" s="52">
        <f>RANK(Table1[[#This Row],[Euclidean
Distance]],Table1[Euclidean
Distance],1)</f>
        <v>83</v>
      </c>
      <c r="I104" s="88">
        <f>ABS(Table1[[#This Row],[sepal_length]]-$L$4)+ABS(Table1[[#This Row],[sepal_width]]-$M$4)+ABS(Table1[[#This Row],[petal_length]]-$N$4)+ABS(Table1[[#This Row],[petal_width]]-$O$4)</f>
        <v>3.0500000000000003</v>
      </c>
      <c r="J104" s="70">
        <f>RANK(Table1[[#This Row],[Manhattan
Distance]],Table1[Manhattan
Distance],1)</f>
        <v>80</v>
      </c>
    </row>
    <row r="105" spans="1:10">
      <c r="A105" s="86">
        <v>104</v>
      </c>
      <c r="B105" s="87">
        <v>6.3</v>
      </c>
      <c r="C105" s="51">
        <v>2.9</v>
      </c>
      <c r="D105" s="51">
        <v>5.6</v>
      </c>
      <c r="E105" s="51">
        <v>1.8</v>
      </c>
      <c r="F105" s="70" t="s">
        <v>81</v>
      </c>
      <c r="G105" s="71">
        <f>SQRT((Table1[[#This Row],[sepal_length]]-$L$4)^2+(Table1[[#This Row],[sepal_width]]-$M$4)^2+(Table1[[#This Row],[petal_length]]-$N$4)^2+(Table1[[#This Row],[petal_width]]-$O$4)^2)</f>
        <v>1.5882380174268591</v>
      </c>
      <c r="H105" s="52">
        <f>RANK(Table1[[#This Row],[Euclidean
Distance]],Table1[Euclidean
Distance],1)</f>
        <v>69</v>
      </c>
      <c r="I105" s="88">
        <f>ABS(Table1[[#This Row],[sepal_length]]-$L$4)+ABS(Table1[[#This Row],[sepal_width]]-$M$4)+ABS(Table1[[#This Row],[petal_length]]-$N$4)+ABS(Table1[[#This Row],[petal_width]]-$O$4)</f>
        <v>2.3500000000000005</v>
      </c>
      <c r="J105" s="70">
        <f>RANK(Table1[[#This Row],[Manhattan
Distance]],Table1[Manhattan
Distance],1)</f>
        <v>64</v>
      </c>
    </row>
    <row r="106" spans="1:10">
      <c r="A106" s="86">
        <v>105</v>
      </c>
      <c r="B106" s="87">
        <v>6.5</v>
      </c>
      <c r="C106" s="51">
        <v>3</v>
      </c>
      <c r="D106" s="51">
        <v>5.8</v>
      </c>
      <c r="E106" s="51">
        <v>2.2000000000000002</v>
      </c>
      <c r="F106" s="70" t="s">
        <v>81</v>
      </c>
      <c r="G106" s="71">
        <f>SQRT((Table1[[#This Row],[sepal_length]]-$L$4)^2+(Table1[[#This Row],[sepal_width]]-$M$4)^2+(Table1[[#This Row],[petal_length]]-$N$4)^2+(Table1[[#This Row],[petal_width]]-$O$4)^2)</f>
        <v>1.8661457606521525</v>
      </c>
      <c r="H106" s="52">
        <f>RANK(Table1[[#This Row],[Euclidean
Distance]],Table1[Euclidean
Distance],1)</f>
        <v>80</v>
      </c>
      <c r="I106" s="88">
        <f>ABS(Table1[[#This Row],[sepal_length]]-$L$4)+ABS(Table1[[#This Row],[sepal_width]]-$M$4)+ABS(Table1[[#This Row],[petal_length]]-$N$4)+ABS(Table1[[#This Row],[petal_width]]-$O$4)</f>
        <v>2.8500000000000005</v>
      </c>
      <c r="J106" s="70">
        <f>RANK(Table1[[#This Row],[Manhattan
Distance]],Table1[Manhattan
Distance],1)</f>
        <v>79</v>
      </c>
    </row>
    <row r="107" spans="1:10">
      <c r="A107" s="86">
        <v>106</v>
      </c>
      <c r="B107" s="87">
        <v>7.6</v>
      </c>
      <c r="C107" s="51">
        <v>3</v>
      </c>
      <c r="D107" s="51">
        <v>6.6</v>
      </c>
      <c r="E107" s="51">
        <v>2.1</v>
      </c>
      <c r="F107" s="70" t="s">
        <v>81</v>
      </c>
      <c r="G107" s="71">
        <f>SQRT((Table1[[#This Row],[sepal_length]]-$L$4)^2+(Table1[[#This Row],[sepal_width]]-$M$4)^2+(Table1[[#This Row],[petal_length]]-$N$4)^2+(Table1[[#This Row],[petal_width]]-$O$4)^2)</f>
        <v>2.7354158733179856</v>
      </c>
      <c r="H107" s="52">
        <f>RANK(Table1[[#This Row],[Euclidean
Distance]],Table1[Euclidean
Distance],1)</f>
        <v>96</v>
      </c>
      <c r="I107" s="88">
        <f>ABS(Table1[[#This Row],[sepal_length]]-$L$4)+ABS(Table1[[#This Row],[sepal_width]]-$M$4)+ABS(Table1[[#This Row],[petal_length]]-$N$4)+ABS(Table1[[#This Row],[petal_width]]-$O$4)</f>
        <v>4.25</v>
      </c>
      <c r="J107" s="70">
        <f>RANK(Table1[[#This Row],[Manhattan
Distance]],Table1[Manhattan
Distance],1)</f>
        <v>96</v>
      </c>
    </row>
    <row r="108" spans="1:10">
      <c r="A108" s="86">
        <v>107</v>
      </c>
      <c r="B108" s="87">
        <v>4.9000000000000004</v>
      </c>
      <c r="C108" s="51">
        <v>2.5</v>
      </c>
      <c r="D108" s="51">
        <v>4.5</v>
      </c>
      <c r="E108" s="51">
        <v>1.7</v>
      </c>
      <c r="F108" s="70" t="s">
        <v>81</v>
      </c>
      <c r="G108" s="71">
        <f>SQRT((Table1[[#This Row],[sepal_length]]-$L$4)^2+(Table1[[#This Row],[sepal_width]]-$M$4)^2+(Table1[[#This Row],[petal_length]]-$N$4)^2+(Table1[[#This Row],[petal_width]]-$O$4)^2)</f>
        <v>1.8714967272212899</v>
      </c>
      <c r="H108" s="52">
        <f>RANK(Table1[[#This Row],[Euclidean
Distance]],Table1[Euclidean
Distance],1)</f>
        <v>81</v>
      </c>
      <c r="I108" s="88">
        <f>ABS(Table1[[#This Row],[sepal_length]]-$L$4)+ABS(Table1[[#This Row],[sepal_width]]-$M$4)+ABS(Table1[[#This Row],[petal_length]]-$N$4)+ABS(Table1[[#This Row],[petal_width]]-$O$4)</f>
        <v>2.6500000000000004</v>
      </c>
      <c r="J108" s="70">
        <f>RANK(Table1[[#This Row],[Manhattan
Distance]],Table1[Manhattan
Distance],1)</f>
        <v>73</v>
      </c>
    </row>
    <row r="109" spans="1:10">
      <c r="A109" s="86">
        <v>108</v>
      </c>
      <c r="B109" s="87">
        <v>7.3</v>
      </c>
      <c r="C109" s="51">
        <v>2.9</v>
      </c>
      <c r="D109" s="51">
        <v>6.3</v>
      </c>
      <c r="E109" s="51">
        <v>1.8</v>
      </c>
      <c r="F109" s="70" t="s">
        <v>81</v>
      </c>
      <c r="G109" s="71">
        <f>SQRT((Table1[[#This Row],[sepal_length]]-$L$4)^2+(Table1[[#This Row],[sepal_width]]-$M$4)^2+(Table1[[#This Row],[petal_length]]-$N$4)^2+(Table1[[#This Row],[petal_width]]-$O$4)^2)</f>
        <v>2.3048861143232218</v>
      </c>
      <c r="H109" s="52">
        <f>RANK(Table1[[#This Row],[Euclidean
Distance]],Table1[Euclidean
Distance],1)</f>
        <v>93</v>
      </c>
      <c r="I109" s="88">
        <f>ABS(Table1[[#This Row],[sepal_length]]-$L$4)+ABS(Table1[[#This Row],[sepal_width]]-$M$4)+ABS(Table1[[#This Row],[petal_length]]-$N$4)+ABS(Table1[[#This Row],[petal_width]]-$O$4)</f>
        <v>3.25</v>
      </c>
      <c r="J109" s="70">
        <f>RANK(Table1[[#This Row],[Manhattan
Distance]],Table1[Manhattan
Distance],1)</f>
        <v>86</v>
      </c>
    </row>
    <row r="110" spans="1:10">
      <c r="A110" s="86">
        <v>109</v>
      </c>
      <c r="B110" s="87">
        <v>6.7</v>
      </c>
      <c r="C110" s="51">
        <v>2.5</v>
      </c>
      <c r="D110" s="51">
        <v>5.8</v>
      </c>
      <c r="E110" s="51">
        <v>1.8</v>
      </c>
      <c r="F110" s="70" t="s">
        <v>81</v>
      </c>
      <c r="G110" s="71">
        <f>SQRT((Table1[[#This Row],[sepal_length]]-$L$4)^2+(Table1[[#This Row],[sepal_width]]-$M$4)^2+(Table1[[#This Row],[petal_length]]-$N$4)^2+(Table1[[#This Row],[petal_width]]-$O$4)^2)</f>
        <v>1.7442763542512409</v>
      </c>
      <c r="H110" s="52">
        <f>RANK(Table1[[#This Row],[Euclidean
Distance]],Table1[Euclidean
Distance],1)</f>
        <v>75</v>
      </c>
      <c r="I110" s="88">
        <f>ABS(Table1[[#This Row],[sepal_length]]-$L$4)+ABS(Table1[[#This Row],[sepal_width]]-$M$4)+ABS(Table1[[#This Row],[petal_length]]-$N$4)+ABS(Table1[[#This Row],[petal_width]]-$O$4)</f>
        <v>2.25</v>
      </c>
      <c r="J110" s="70">
        <f>RANK(Table1[[#This Row],[Manhattan
Distance]],Table1[Manhattan
Distance],1)</f>
        <v>56</v>
      </c>
    </row>
    <row r="111" spans="1:10">
      <c r="A111" s="86">
        <v>110</v>
      </c>
      <c r="B111" s="87">
        <v>7.2</v>
      </c>
      <c r="C111" s="51">
        <v>3.6</v>
      </c>
      <c r="D111" s="51">
        <v>6.1</v>
      </c>
      <c r="E111" s="51">
        <v>2.5</v>
      </c>
      <c r="F111" s="70" t="s">
        <v>81</v>
      </c>
      <c r="G111" s="71">
        <f>SQRT((Table1[[#This Row],[sepal_length]]-$L$4)^2+(Table1[[#This Row],[sepal_width]]-$M$4)^2+(Table1[[#This Row],[petal_length]]-$N$4)^2+(Table1[[#This Row],[petal_width]]-$O$4)^2)</f>
        <v>2.4438698819699876</v>
      </c>
      <c r="H111" s="52">
        <f>RANK(Table1[[#This Row],[Euclidean
Distance]],Table1[Euclidean
Distance],1)</f>
        <v>95</v>
      </c>
      <c r="I111" s="88">
        <f>ABS(Table1[[#This Row],[sepal_length]]-$L$4)+ABS(Table1[[#This Row],[sepal_width]]-$M$4)+ABS(Table1[[#This Row],[petal_length]]-$N$4)+ABS(Table1[[#This Row],[petal_width]]-$O$4)</f>
        <v>4.3499999999999996</v>
      </c>
      <c r="J111" s="70">
        <f>RANK(Table1[[#This Row],[Manhattan
Distance]],Table1[Manhattan
Distance],1)</f>
        <v>97</v>
      </c>
    </row>
    <row r="112" spans="1:10">
      <c r="A112" s="86">
        <v>111</v>
      </c>
      <c r="B112" s="87">
        <v>6.5</v>
      </c>
      <c r="C112" s="51">
        <v>3.2</v>
      </c>
      <c r="D112" s="51">
        <v>5.0999999999999996</v>
      </c>
      <c r="E112" s="51">
        <v>2</v>
      </c>
      <c r="F112" s="70" t="s">
        <v>81</v>
      </c>
      <c r="G112" s="71">
        <f>SQRT((Table1[[#This Row],[sepal_length]]-$L$4)^2+(Table1[[#This Row],[sepal_width]]-$M$4)^2+(Table1[[#This Row],[petal_length]]-$N$4)^2+(Table1[[#This Row],[petal_width]]-$O$4)^2)</f>
        <v>1.2216791722870617</v>
      </c>
      <c r="H112" s="52">
        <f>RANK(Table1[[#This Row],[Euclidean
Distance]],Table1[Euclidean
Distance],1)</f>
        <v>43</v>
      </c>
      <c r="I112" s="88">
        <f>ABS(Table1[[#This Row],[sepal_length]]-$L$4)+ABS(Table1[[#This Row],[sepal_width]]-$M$4)+ABS(Table1[[#This Row],[petal_length]]-$N$4)+ABS(Table1[[#This Row],[petal_width]]-$O$4)</f>
        <v>2.1500000000000004</v>
      </c>
      <c r="J112" s="70">
        <f>RANK(Table1[[#This Row],[Manhattan
Distance]],Table1[Manhattan
Distance],1)</f>
        <v>51</v>
      </c>
    </row>
    <row r="113" spans="1:10">
      <c r="A113" s="86">
        <v>112</v>
      </c>
      <c r="B113" s="87">
        <v>6.4</v>
      </c>
      <c r="C113" s="51">
        <v>2.7</v>
      </c>
      <c r="D113" s="51">
        <v>5.3</v>
      </c>
      <c r="E113" s="51">
        <v>1.9</v>
      </c>
      <c r="F113" s="70" t="s">
        <v>81</v>
      </c>
      <c r="G113" s="71">
        <f>SQRT((Table1[[#This Row],[sepal_length]]-$L$4)^2+(Table1[[#This Row],[sepal_width]]-$M$4)^2+(Table1[[#This Row],[petal_length]]-$N$4)^2+(Table1[[#This Row],[petal_width]]-$O$4)^2)</f>
        <v>1.3009611831257688</v>
      </c>
      <c r="H113" s="52">
        <f>RANK(Table1[[#This Row],[Euclidean
Distance]],Table1[Euclidean
Distance],1)</f>
        <v>51</v>
      </c>
      <c r="I113" s="88">
        <f>ABS(Table1[[#This Row],[sepal_length]]-$L$4)+ABS(Table1[[#This Row],[sepal_width]]-$M$4)+ABS(Table1[[#This Row],[petal_length]]-$N$4)+ABS(Table1[[#This Row],[petal_width]]-$O$4)</f>
        <v>1.9499999999999997</v>
      </c>
      <c r="J113" s="70">
        <f>RANK(Table1[[#This Row],[Manhattan
Distance]],Table1[Manhattan
Distance],1)</f>
        <v>41</v>
      </c>
    </row>
    <row r="114" spans="1:10">
      <c r="A114" s="86">
        <v>113</v>
      </c>
      <c r="B114" s="87">
        <v>6.8</v>
      </c>
      <c r="C114" s="51">
        <v>3</v>
      </c>
      <c r="D114" s="51">
        <v>5.5</v>
      </c>
      <c r="E114" s="51">
        <v>2.1</v>
      </c>
      <c r="F114" s="70" t="s">
        <v>81</v>
      </c>
      <c r="G114" s="71">
        <f>SQRT((Table1[[#This Row],[sepal_length]]-$L$4)^2+(Table1[[#This Row],[sepal_width]]-$M$4)^2+(Table1[[#This Row],[petal_length]]-$N$4)^2+(Table1[[#This Row],[petal_width]]-$O$4)^2)</f>
        <v>1.5467708298258023</v>
      </c>
      <c r="H114" s="52">
        <f>RANK(Table1[[#This Row],[Euclidean
Distance]],Table1[Euclidean
Distance],1)</f>
        <v>68</v>
      </c>
      <c r="I114" s="88">
        <f>ABS(Table1[[#This Row],[sepal_length]]-$L$4)+ABS(Table1[[#This Row],[sepal_width]]-$M$4)+ABS(Table1[[#This Row],[petal_length]]-$N$4)+ABS(Table1[[#This Row],[petal_width]]-$O$4)</f>
        <v>2.35</v>
      </c>
      <c r="J114" s="70">
        <f>RANK(Table1[[#This Row],[Manhattan
Distance]],Table1[Manhattan
Distance],1)</f>
        <v>60</v>
      </c>
    </row>
    <row r="115" spans="1:10">
      <c r="A115" s="86">
        <v>114</v>
      </c>
      <c r="B115" s="87">
        <v>5.7</v>
      </c>
      <c r="C115" s="51">
        <v>2.5</v>
      </c>
      <c r="D115" s="51">
        <v>5</v>
      </c>
      <c r="E115" s="51">
        <v>2</v>
      </c>
      <c r="F115" s="70" t="s">
        <v>81</v>
      </c>
      <c r="G115" s="71">
        <f>SQRT((Table1[[#This Row],[sepal_length]]-$L$4)^2+(Table1[[#This Row],[sepal_width]]-$M$4)^2+(Table1[[#This Row],[petal_length]]-$N$4)^2+(Table1[[#This Row],[petal_width]]-$O$4)^2)</f>
        <v>1.4568802284333466</v>
      </c>
      <c r="H115" s="52">
        <f>RANK(Table1[[#This Row],[Euclidean
Distance]],Table1[Euclidean
Distance],1)</f>
        <v>62</v>
      </c>
      <c r="I115" s="88">
        <f>ABS(Table1[[#This Row],[sepal_length]]-$L$4)+ABS(Table1[[#This Row],[sepal_width]]-$M$4)+ABS(Table1[[#This Row],[petal_length]]-$N$4)+ABS(Table1[[#This Row],[petal_width]]-$O$4)</f>
        <v>2.6500000000000004</v>
      </c>
      <c r="J115" s="70">
        <f>RANK(Table1[[#This Row],[Manhattan
Distance]],Table1[Manhattan
Distance],1)</f>
        <v>73</v>
      </c>
    </row>
    <row r="116" spans="1:10">
      <c r="A116" s="86">
        <v>115</v>
      </c>
      <c r="B116" s="87">
        <v>5.8</v>
      </c>
      <c r="C116" s="51">
        <v>2.8</v>
      </c>
      <c r="D116" s="51">
        <v>5.0999999999999996</v>
      </c>
      <c r="E116" s="51">
        <v>2.4</v>
      </c>
      <c r="F116" s="70" t="s">
        <v>81</v>
      </c>
      <c r="G116" s="71">
        <f>SQRT((Table1[[#This Row],[sepal_length]]-$L$4)^2+(Table1[[#This Row],[sepal_width]]-$M$4)^2+(Table1[[#This Row],[petal_length]]-$N$4)^2+(Table1[[#This Row],[petal_width]]-$O$4)^2)</f>
        <v>1.6194134740701649</v>
      </c>
      <c r="H116" s="52">
        <f>RANK(Table1[[#This Row],[Euclidean
Distance]],Table1[Euclidean
Distance],1)</f>
        <v>70</v>
      </c>
      <c r="I116" s="88">
        <f>ABS(Table1[[#This Row],[sepal_length]]-$L$4)+ABS(Table1[[#This Row],[sepal_width]]-$M$4)+ABS(Table1[[#This Row],[petal_length]]-$N$4)+ABS(Table1[[#This Row],[petal_width]]-$O$4)</f>
        <v>2.85</v>
      </c>
      <c r="J116" s="70">
        <f>RANK(Table1[[#This Row],[Manhattan
Distance]],Table1[Manhattan
Distance],1)</f>
        <v>78</v>
      </c>
    </row>
    <row r="117" spans="1:10">
      <c r="A117" s="86">
        <v>116</v>
      </c>
      <c r="B117" s="87">
        <v>6.4</v>
      </c>
      <c r="C117" s="51">
        <v>3.2</v>
      </c>
      <c r="D117" s="51">
        <v>5.3</v>
      </c>
      <c r="E117" s="51">
        <v>2.2999999999999998</v>
      </c>
      <c r="F117" s="70" t="s">
        <v>81</v>
      </c>
      <c r="G117" s="71">
        <f>SQRT((Table1[[#This Row],[sepal_length]]-$L$4)^2+(Table1[[#This Row],[sepal_width]]-$M$4)^2+(Table1[[#This Row],[petal_length]]-$N$4)^2+(Table1[[#This Row],[petal_width]]-$O$4)^2)</f>
        <v>1.5402921800749363</v>
      </c>
      <c r="H117" s="52">
        <f>RANK(Table1[[#This Row],[Euclidean
Distance]],Table1[Euclidean
Distance],1)</f>
        <v>67</v>
      </c>
      <c r="I117" s="88">
        <f>ABS(Table1[[#This Row],[sepal_length]]-$L$4)+ABS(Table1[[#This Row],[sepal_width]]-$M$4)+ABS(Table1[[#This Row],[petal_length]]-$N$4)+ABS(Table1[[#This Row],[petal_width]]-$O$4)</f>
        <v>2.75</v>
      </c>
      <c r="J117" s="70">
        <f>RANK(Table1[[#This Row],[Manhattan
Distance]],Table1[Manhattan
Distance],1)</f>
        <v>75</v>
      </c>
    </row>
    <row r="118" spans="1:10">
      <c r="A118" s="86">
        <v>117</v>
      </c>
      <c r="B118" s="87">
        <v>6.5</v>
      </c>
      <c r="C118" s="51">
        <v>3</v>
      </c>
      <c r="D118" s="51">
        <v>5.5</v>
      </c>
      <c r="E118" s="51">
        <v>1.8</v>
      </c>
      <c r="F118" s="70" t="s">
        <v>81</v>
      </c>
      <c r="G118" s="71">
        <f>SQRT((Table1[[#This Row],[sepal_length]]-$L$4)^2+(Table1[[#This Row],[sepal_width]]-$M$4)^2+(Table1[[#This Row],[petal_length]]-$N$4)^2+(Table1[[#This Row],[petal_width]]-$O$4)^2)</f>
        <v>1.4671400751121213</v>
      </c>
      <c r="H118" s="52">
        <f>RANK(Table1[[#This Row],[Euclidean
Distance]],Table1[Euclidean
Distance],1)</f>
        <v>63</v>
      </c>
      <c r="I118" s="88">
        <f>ABS(Table1[[#This Row],[sepal_length]]-$L$4)+ABS(Table1[[#This Row],[sepal_width]]-$M$4)+ABS(Table1[[#This Row],[petal_length]]-$N$4)+ABS(Table1[[#This Row],[petal_width]]-$O$4)</f>
        <v>2.1500000000000004</v>
      </c>
      <c r="J118" s="70">
        <f>RANK(Table1[[#This Row],[Manhattan
Distance]],Table1[Manhattan
Distance],1)</f>
        <v>51</v>
      </c>
    </row>
    <row r="119" spans="1:10">
      <c r="A119" s="86">
        <v>118</v>
      </c>
      <c r="B119" s="87">
        <v>7.7</v>
      </c>
      <c r="C119" s="51">
        <v>3.8</v>
      </c>
      <c r="D119" s="51">
        <v>6.7</v>
      </c>
      <c r="E119" s="51">
        <v>2.2000000000000002</v>
      </c>
      <c r="F119" s="70" t="s">
        <v>81</v>
      </c>
      <c r="G119" s="71">
        <f>SQRT((Table1[[#This Row],[sepal_length]]-$L$4)^2+(Table1[[#This Row],[sepal_width]]-$M$4)^2+(Table1[[#This Row],[petal_length]]-$N$4)^2+(Table1[[#This Row],[petal_width]]-$O$4)^2)</f>
        <v>3.0581857366746061</v>
      </c>
      <c r="H119" s="52">
        <f>RANK(Table1[[#This Row],[Euclidean
Distance]],Table1[Euclidean
Distance],1)</f>
        <v>100</v>
      </c>
      <c r="I119" s="88">
        <f>ABS(Table1[[#This Row],[sepal_length]]-$L$4)+ABS(Table1[[#This Row],[sepal_width]]-$M$4)+ABS(Table1[[#This Row],[petal_length]]-$N$4)+ABS(Table1[[#This Row],[petal_width]]-$O$4)</f>
        <v>5.3500000000000005</v>
      </c>
      <c r="J119" s="70">
        <f>RANK(Table1[[#This Row],[Manhattan
Distance]],Table1[Manhattan
Distance],1)</f>
        <v>100</v>
      </c>
    </row>
    <row r="120" spans="1:10">
      <c r="A120" s="86">
        <v>119</v>
      </c>
      <c r="B120" s="87">
        <v>7.7</v>
      </c>
      <c r="C120" s="51">
        <v>2.6</v>
      </c>
      <c r="D120" s="51">
        <v>6.9</v>
      </c>
      <c r="E120" s="51">
        <v>2.2999999999999998</v>
      </c>
      <c r="F120" s="70" t="s">
        <v>81</v>
      </c>
      <c r="G120" s="71">
        <f>SQRT((Table1[[#This Row],[sepal_length]]-$L$4)^2+(Table1[[#This Row],[sepal_width]]-$M$4)^2+(Table1[[#This Row],[petal_length]]-$N$4)^2+(Table1[[#This Row],[petal_width]]-$O$4)^2)</f>
        <v>3.0826125283596713</v>
      </c>
      <c r="H120" s="52">
        <f>RANK(Table1[[#This Row],[Euclidean
Distance]],Table1[Euclidean
Distance],1)</f>
        <v>101</v>
      </c>
      <c r="I120" s="88">
        <f>ABS(Table1[[#This Row],[sepal_length]]-$L$4)+ABS(Table1[[#This Row],[sepal_width]]-$M$4)+ABS(Table1[[#This Row],[petal_length]]-$N$4)+ABS(Table1[[#This Row],[petal_width]]-$O$4)</f>
        <v>4.75</v>
      </c>
      <c r="J120" s="70">
        <f>RANK(Table1[[#This Row],[Manhattan
Distance]],Table1[Manhattan
Distance],1)</f>
        <v>98</v>
      </c>
    </row>
    <row r="121" spans="1:10">
      <c r="A121" s="86">
        <v>120</v>
      </c>
      <c r="B121" s="87">
        <v>6</v>
      </c>
      <c r="C121" s="51">
        <v>2.2000000000000002</v>
      </c>
      <c r="D121" s="51">
        <v>5</v>
      </c>
      <c r="E121" s="51">
        <v>1.5</v>
      </c>
      <c r="F121" s="70" t="s">
        <v>81</v>
      </c>
      <c r="G121" s="71">
        <f>SQRT((Table1[[#This Row],[sepal_length]]-$L$4)^2+(Table1[[#This Row],[sepal_width]]-$M$4)^2+(Table1[[#This Row],[petal_length]]-$N$4)^2+(Table1[[#This Row],[petal_width]]-$O$4)^2)</f>
        <v>1.2658988901172166</v>
      </c>
      <c r="H121" s="52">
        <f>RANK(Table1[[#This Row],[Euclidean
Distance]],Table1[Euclidean
Distance],1)</f>
        <v>48</v>
      </c>
      <c r="I121" s="88">
        <f>ABS(Table1[[#This Row],[sepal_length]]-$L$4)+ABS(Table1[[#This Row],[sepal_width]]-$M$4)+ABS(Table1[[#This Row],[petal_length]]-$N$4)+ABS(Table1[[#This Row],[petal_width]]-$O$4)</f>
        <v>2.1500000000000004</v>
      </c>
      <c r="J121" s="70">
        <f>RANK(Table1[[#This Row],[Manhattan
Distance]],Table1[Manhattan
Distance],1)</f>
        <v>51</v>
      </c>
    </row>
    <row r="122" spans="1:10">
      <c r="A122" s="86">
        <v>121</v>
      </c>
      <c r="B122" s="87">
        <v>6.9</v>
      </c>
      <c r="C122" s="51">
        <v>3.2</v>
      </c>
      <c r="D122" s="51">
        <v>5.7</v>
      </c>
      <c r="E122" s="51">
        <v>2.2999999999999998</v>
      </c>
      <c r="F122" s="70" t="s">
        <v>81</v>
      </c>
      <c r="G122" s="71">
        <f>SQRT((Table1[[#This Row],[sepal_length]]-$L$4)^2+(Table1[[#This Row],[sepal_width]]-$M$4)^2+(Table1[[#This Row],[petal_length]]-$N$4)^2+(Table1[[#This Row],[petal_width]]-$O$4)^2)</f>
        <v>1.8553975315279476</v>
      </c>
      <c r="H122" s="52">
        <f>RANK(Table1[[#This Row],[Euclidean
Distance]],Table1[Euclidean
Distance],1)</f>
        <v>79</v>
      </c>
      <c r="I122" s="88">
        <f>ABS(Table1[[#This Row],[sepal_length]]-$L$4)+ABS(Table1[[#This Row],[sepal_width]]-$M$4)+ABS(Table1[[#This Row],[petal_length]]-$N$4)+ABS(Table1[[#This Row],[petal_width]]-$O$4)</f>
        <v>3.0500000000000007</v>
      </c>
      <c r="J122" s="70">
        <f>RANK(Table1[[#This Row],[Manhattan
Distance]],Table1[Manhattan
Distance],1)</f>
        <v>81</v>
      </c>
    </row>
    <row r="123" spans="1:10">
      <c r="A123" s="86">
        <v>122</v>
      </c>
      <c r="B123" s="87">
        <v>5.6</v>
      </c>
      <c r="C123" s="51">
        <v>2.8</v>
      </c>
      <c r="D123" s="51">
        <v>4.9000000000000004</v>
      </c>
      <c r="E123" s="51">
        <v>2</v>
      </c>
      <c r="F123" s="70" t="s">
        <v>81</v>
      </c>
      <c r="G123" s="71">
        <f>SQRT((Table1[[#This Row],[sepal_length]]-$L$4)^2+(Table1[[#This Row],[sepal_width]]-$M$4)^2+(Table1[[#This Row],[petal_length]]-$N$4)^2+(Table1[[#This Row],[petal_width]]-$O$4)^2)</f>
        <v>1.4500000000000008</v>
      </c>
      <c r="H123" s="52">
        <f>RANK(Table1[[#This Row],[Euclidean
Distance]],Table1[Euclidean
Distance],1)</f>
        <v>61</v>
      </c>
      <c r="I123" s="88">
        <f>ABS(Table1[[#This Row],[sepal_length]]-$L$4)+ABS(Table1[[#This Row],[sepal_width]]-$M$4)+ABS(Table1[[#This Row],[petal_length]]-$N$4)+ABS(Table1[[#This Row],[petal_width]]-$O$4)</f>
        <v>2.4500000000000011</v>
      </c>
      <c r="J123" s="70">
        <f>RANK(Table1[[#This Row],[Manhattan
Distance]],Table1[Manhattan
Distance],1)</f>
        <v>69</v>
      </c>
    </row>
    <row r="124" spans="1:10">
      <c r="A124" s="86">
        <v>123</v>
      </c>
      <c r="B124" s="87">
        <v>7.7</v>
      </c>
      <c r="C124" s="51">
        <v>2.8</v>
      </c>
      <c r="D124" s="51">
        <v>6.7</v>
      </c>
      <c r="E124" s="51">
        <v>2</v>
      </c>
      <c r="F124" s="70" t="s">
        <v>81</v>
      </c>
      <c r="G124" s="71">
        <f>SQRT((Table1[[#This Row],[sepal_length]]-$L$4)^2+(Table1[[#This Row],[sepal_width]]-$M$4)^2+(Table1[[#This Row],[petal_length]]-$N$4)^2+(Table1[[#This Row],[petal_width]]-$O$4)^2)</f>
        <v>2.8306359709436326</v>
      </c>
      <c r="H124" s="52">
        <f>RANK(Table1[[#This Row],[Euclidean
Distance]],Table1[Euclidean
Distance],1)</f>
        <v>97</v>
      </c>
      <c r="I124" s="88">
        <f>ABS(Table1[[#This Row],[sepal_length]]-$L$4)+ABS(Table1[[#This Row],[sepal_width]]-$M$4)+ABS(Table1[[#This Row],[petal_length]]-$N$4)+ABS(Table1[[#This Row],[petal_width]]-$O$4)</f>
        <v>4.1500000000000004</v>
      </c>
      <c r="J124" s="70">
        <f>RANK(Table1[[#This Row],[Manhattan
Distance]],Table1[Manhattan
Distance],1)</f>
        <v>95</v>
      </c>
    </row>
    <row r="125" spans="1:10">
      <c r="A125" s="86">
        <v>124</v>
      </c>
      <c r="B125" s="87">
        <v>6.3</v>
      </c>
      <c r="C125" s="51">
        <v>2.7</v>
      </c>
      <c r="D125" s="51">
        <v>4.9000000000000004</v>
      </c>
      <c r="E125" s="51">
        <v>1.8</v>
      </c>
      <c r="F125" s="70" t="s">
        <v>81</v>
      </c>
      <c r="G125" s="71">
        <f>SQRT((Table1[[#This Row],[sepal_length]]-$L$4)^2+(Table1[[#This Row],[sepal_width]]-$M$4)^2+(Table1[[#This Row],[petal_length]]-$N$4)^2+(Table1[[#This Row],[petal_width]]-$O$4)^2)</f>
        <v>0.94472218138455999</v>
      </c>
      <c r="H125" s="52">
        <f>RANK(Table1[[#This Row],[Euclidean
Distance]],Table1[Euclidean
Distance],1)</f>
        <v>23</v>
      </c>
      <c r="I125" s="88">
        <f>ABS(Table1[[#This Row],[sepal_length]]-$L$4)+ABS(Table1[[#This Row],[sepal_width]]-$M$4)+ABS(Table1[[#This Row],[petal_length]]-$N$4)+ABS(Table1[[#This Row],[petal_width]]-$O$4)</f>
        <v>1.5500000000000009</v>
      </c>
      <c r="J125" s="70">
        <f>RANK(Table1[[#This Row],[Manhattan
Distance]],Table1[Manhattan
Distance],1)</f>
        <v>30</v>
      </c>
    </row>
    <row r="126" spans="1:10">
      <c r="A126" s="86">
        <v>125</v>
      </c>
      <c r="B126" s="87">
        <v>6.7</v>
      </c>
      <c r="C126" s="51">
        <v>3.3</v>
      </c>
      <c r="D126" s="51">
        <v>5.7</v>
      </c>
      <c r="E126" s="51">
        <v>2.1</v>
      </c>
      <c r="F126" s="70" t="s">
        <v>81</v>
      </c>
      <c r="G126" s="71">
        <f>SQRT((Table1[[#This Row],[sepal_length]]-$L$4)^2+(Table1[[#This Row],[sepal_width]]-$M$4)^2+(Table1[[#This Row],[petal_length]]-$N$4)^2+(Table1[[#This Row],[petal_width]]-$O$4)^2)</f>
        <v>1.7951323071016247</v>
      </c>
      <c r="H126" s="52">
        <f>RANK(Table1[[#This Row],[Euclidean
Distance]],Table1[Euclidean
Distance],1)</f>
        <v>78</v>
      </c>
      <c r="I126" s="88">
        <f>ABS(Table1[[#This Row],[sepal_length]]-$L$4)+ABS(Table1[[#This Row],[sepal_width]]-$M$4)+ABS(Table1[[#This Row],[petal_length]]-$N$4)+ABS(Table1[[#This Row],[petal_width]]-$O$4)</f>
        <v>2.7500000000000004</v>
      </c>
      <c r="J126" s="70">
        <f>RANK(Table1[[#This Row],[Manhattan
Distance]],Table1[Manhattan
Distance],1)</f>
        <v>77</v>
      </c>
    </row>
    <row r="127" spans="1:10">
      <c r="A127" s="86">
        <v>126</v>
      </c>
      <c r="B127" s="87">
        <v>7.2</v>
      </c>
      <c r="C127" s="51">
        <v>3.2</v>
      </c>
      <c r="D127" s="51">
        <v>6</v>
      </c>
      <c r="E127" s="51">
        <v>1.8</v>
      </c>
      <c r="F127" s="70" t="s">
        <v>81</v>
      </c>
      <c r="G127" s="71">
        <f>SQRT((Table1[[#This Row],[sepal_length]]-$L$4)^2+(Table1[[#This Row],[sepal_width]]-$M$4)^2+(Table1[[#This Row],[petal_length]]-$N$4)^2+(Table1[[#This Row],[petal_width]]-$O$4)^2)</f>
        <v>2.0377683872314836</v>
      </c>
      <c r="H127" s="52">
        <f>RANK(Table1[[#This Row],[Euclidean
Distance]],Table1[Euclidean
Distance],1)</f>
        <v>89</v>
      </c>
      <c r="I127" s="88">
        <f>ABS(Table1[[#This Row],[sepal_length]]-$L$4)+ABS(Table1[[#This Row],[sepal_width]]-$M$4)+ABS(Table1[[#This Row],[petal_length]]-$N$4)+ABS(Table1[[#This Row],[petal_width]]-$O$4)</f>
        <v>3.1500000000000004</v>
      </c>
      <c r="J127" s="70">
        <f>RANK(Table1[[#This Row],[Manhattan
Distance]],Table1[Manhattan
Distance],1)</f>
        <v>83</v>
      </c>
    </row>
    <row r="128" spans="1:10">
      <c r="A128" s="86">
        <v>127</v>
      </c>
      <c r="B128" s="87">
        <v>6.2</v>
      </c>
      <c r="C128" s="51">
        <v>2.8</v>
      </c>
      <c r="D128" s="51">
        <v>4.8</v>
      </c>
      <c r="E128" s="51">
        <v>1.8</v>
      </c>
      <c r="F128" s="70" t="s">
        <v>81</v>
      </c>
      <c r="G128" s="71">
        <f>SQRT((Table1[[#This Row],[sepal_length]]-$L$4)^2+(Table1[[#This Row],[sepal_width]]-$M$4)^2+(Table1[[#This Row],[petal_length]]-$N$4)^2+(Table1[[#This Row],[petal_width]]-$O$4)^2)</f>
        <v>0.91241437954473303</v>
      </c>
      <c r="H128" s="52">
        <f>RANK(Table1[[#This Row],[Euclidean
Distance]],Table1[Euclidean
Distance],1)</f>
        <v>20</v>
      </c>
      <c r="I128" s="88">
        <f>ABS(Table1[[#This Row],[sepal_length]]-$L$4)+ABS(Table1[[#This Row],[sepal_width]]-$M$4)+ABS(Table1[[#This Row],[petal_length]]-$N$4)+ABS(Table1[[#This Row],[petal_width]]-$O$4)</f>
        <v>1.55</v>
      </c>
      <c r="J128" s="70">
        <f>RANK(Table1[[#This Row],[Manhattan
Distance]],Table1[Manhattan
Distance],1)</f>
        <v>28</v>
      </c>
    </row>
    <row r="129" spans="1:10">
      <c r="A129" s="86">
        <v>128</v>
      </c>
      <c r="B129" s="87">
        <v>6.1</v>
      </c>
      <c r="C129" s="51">
        <v>3</v>
      </c>
      <c r="D129" s="51">
        <v>4.9000000000000004</v>
      </c>
      <c r="E129" s="51">
        <v>1.8</v>
      </c>
      <c r="F129" s="70" t="s">
        <v>81</v>
      </c>
      <c r="G129" s="71">
        <f>SQRT((Table1[[#This Row],[sepal_length]]-$L$4)^2+(Table1[[#This Row],[sepal_width]]-$M$4)^2+(Table1[[#This Row],[petal_length]]-$N$4)^2+(Table1[[#This Row],[petal_width]]-$O$4)^2)</f>
        <v>1.0735455276791952</v>
      </c>
      <c r="H129" s="52">
        <f>RANK(Table1[[#This Row],[Euclidean
Distance]],Table1[Euclidean
Distance],1)</f>
        <v>33</v>
      </c>
      <c r="I129" s="88">
        <f>ABS(Table1[[#This Row],[sepal_length]]-$L$4)+ABS(Table1[[#This Row],[sepal_width]]-$M$4)+ABS(Table1[[#This Row],[petal_length]]-$N$4)+ABS(Table1[[#This Row],[petal_width]]-$O$4)</f>
        <v>1.9500000000000013</v>
      </c>
      <c r="J129" s="70">
        <f>RANK(Table1[[#This Row],[Manhattan
Distance]],Table1[Manhattan
Distance],1)</f>
        <v>49</v>
      </c>
    </row>
    <row r="130" spans="1:10">
      <c r="A130" s="86">
        <v>129</v>
      </c>
      <c r="B130" s="87">
        <v>6.4</v>
      </c>
      <c r="C130" s="51">
        <v>2.8</v>
      </c>
      <c r="D130" s="51">
        <v>5.6</v>
      </c>
      <c r="E130" s="51">
        <v>2.1</v>
      </c>
      <c r="F130" s="70" t="s">
        <v>81</v>
      </c>
      <c r="G130" s="71">
        <f>SQRT((Table1[[#This Row],[sepal_length]]-$L$4)^2+(Table1[[#This Row],[sepal_width]]-$M$4)^2+(Table1[[#This Row],[petal_length]]-$N$4)^2+(Table1[[#This Row],[petal_width]]-$O$4)^2)</f>
        <v>1.6439282222773595</v>
      </c>
      <c r="H130" s="52">
        <f>RANK(Table1[[#This Row],[Euclidean
Distance]],Table1[Euclidean
Distance],1)</f>
        <v>72</v>
      </c>
      <c r="I130" s="88">
        <f>ABS(Table1[[#This Row],[sepal_length]]-$L$4)+ABS(Table1[[#This Row],[sepal_width]]-$M$4)+ABS(Table1[[#This Row],[petal_length]]-$N$4)+ABS(Table1[[#This Row],[petal_width]]-$O$4)</f>
        <v>2.4499999999999997</v>
      </c>
      <c r="J130" s="70">
        <f>RANK(Table1[[#This Row],[Manhattan
Distance]],Table1[Manhattan
Distance],1)</f>
        <v>67</v>
      </c>
    </row>
    <row r="131" spans="1:10">
      <c r="A131" s="86">
        <v>130</v>
      </c>
      <c r="B131" s="87">
        <v>7.2</v>
      </c>
      <c r="C131" s="51">
        <v>3</v>
      </c>
      <c r="D131" s="51">
        <v>5.8</v>
      </c>
      <c r="E131" s="51">
        <v>1.6</v>
      </c>
      <c r="F131" s="70" t="s">
        <v>81</v>
      </c>
      <c r="G131" s="71">
        <f>SQRT((Table1[[#This Row],[sepal_length]]-$L$4)^2+(Table1[[#This Row],[sepal_width]]-$M$4)^2+(Table1[[#This Row],[petal_length]]-$N$4)^2+(Table1[[#This Row],[petal_width]]-$O$4)^2)</f>
        <v>1.7923448328934923</v>
      </c>
      <c r="H131" s="52">
        <f>RANK(Table1[[#This Row],[Euclidean
Distance]],Table1[Euclidean
Distance],1)</f>
        <v>77</v>
      </c>
      <c r="I131" s="88">
        <f>ABS(Table1[[#This Row],[sepal_length]]-$L$4)+ABS(Table1[[#This Row],[sepal_width]]-$M$4)+ABS(Table1[[#This Row],[petal_length]]-$N$4)+ABS(Table1[[#This Row],[petal_width]]-$O$4)</f>
        <v>2.5500000000000003</v>
      </c>
      <c r="J131" s="70">
        <f>RANK(Table1[[#This Row],[Manhattan
Distance]],Table1[Manhattan
Distance],1)</f>
        <v>72</v>
      </c>
    </row>
    <row r="132" spans="1:10">
      <c r="A132" s="86">
        <v>131</v>
      </c>
      <c r="B132" s="87">
        <v>7.4</v>
      </c>
      <c r="C132" s="51">
        <v>2.8</v>
      </c>
      <c r="D132" s="51">
        <v>6.1</v>
      </c>
      <c r="E132" s="51">
        <v>1.9</v>
      </c>
      <c r="F132" s="70" t="s">
        <v>81</v>
      </c>
      <c r="G132" s="71">
        <f>SQRT((Table1[[#This Row],[sepal_length]]-$L$4)^2+(Table1[[#This Row],[sepal_width]]-$M$4)^2+(Table1[[#This Row],[petal_length]]-$N$4)^2+(Table1[[#This Row],[petal_width]]-$O$4)^2)</f>
        <v>2.1569654610122995</v>
      </c>
      <c r="H132" s="52">
        <f>RANK(Table1[[#This Row],[Euclidean
Distance]],Table1[Euclidean
Distance],1)</f>
        <v>91</v>
      </c>
      <c r="I132" s="88">
        <f>ABS(Table1[[#This Row],[sepal_length]]-$L$4)+ABS(Table1[[#This Row],[sepal_width]]-$M$4)+ABS(Table1[[#This Row],[petal_length]]-$N$4)+ABS(Table1[[#This Row],[petal_width]]-$O$4)</f>
        <v>3.15</v>
      </c>
      <c r="J132" s="70">
        <f>RANK(Table1[[#This Row],[Manhattan
Distance]],Table1[Manhattan
Distance],1)</f>
        <v>82</v>
      </c>
    </row>
    <row r="133" spans="1:10">
      <c r="A133" s="86">
        <v>132</v>
      </c>
      <c r="B133" s="87">
        <v>7.9</v>
      </c>
      <c r="C133" s="51">
        <v>3.8</v>
      </c>
      <c r="D133" s="51">
        <v>6.4</v>
      </c>
      <c r="E133" s="51">
        <v>2</v>
      </c>
      <c r="F133" s="70" t="s">
        <v>81</v>
      </c>
      <c r="G133" s="71">
        <f>SQRT((Table1[[#This Row],[sepal_length]]-$L$4)^2+(Table1[[#This Row],[sepal_width]]-$M$4)^2+(Table1[[#This Row],[petal_length]]-$N$4)^2+(Table1[[#This Row],[petal_width]]-$O$4)^2)</f>
        <v>2.8429737951659004</v>
      </c>
      <c r="H133" s="52">
        <f>RANK(Table1[[#This Row],[Euclidean
Distance]],Table1[Euclidean
Distance],1)</f>
        <v>98</v>
      </c>
      <c r="I133" s="88">
        <f>ABS(Table1[[#This Row],[sepal_length]]-$L$4)+ABS(Table1[[#This Row],[sepal_width]]-$M$4)+ABS(Table1[[#This Row],[petal_length]]-$N$4)+ABS(Table1[[#This Row],[petal_width]]-$O$4)</f>
        <v>5.0500000000000007</v>
      </c>
      <c r="J133" s="70">
        <f>RANK(Table1[[#This Row],[Manhattan
Distance]],Table1[Manhattan
Distance],1)</f>
        <v>99</v>
      </c>
    </row>
    <row r="134" spans="1:10">
      <c r="A134" s="86">
        <v>133</v>
      </c>
      <c r="B134" s="87">
        <v>6.4</v>
      </c>
      <c r="C134" s="51">
        <v>2.8</v>
      </c>
      <c r="D134" s="51">
        <v>5.6</v>
      </c>
      <c r="E134" s="51">
        <v>2.2000000000000002</v>
      </c>
      <c r="F134" s="70" t="s">
        <v>81</v>
      </c>
      <c r="G134" s="71">
        <f>SQRT((Table1[[#This Row],[sepal_length]]-$L$4)^2+(Table1[[#This Row],[sepal_width]]-$M$4)^2+(Table1[[#This Row],[petal_length]]-$N$4)^2+(Table1[[#This Row],[petal_width]]-$O$4)^2)</f>
        <v>1.6830032679706834</v>
      </c>
      <c r="H134" s="52">
        <f>RANK(Table1[[#This Row],[Euclidean
Distance]],Table1[Euclidean
Distance],1)</f>
        <v>73</v>
      </c>
      <c r="I134" s="88">
        <f>ABS(Table1[[#This Row],[sepal_length]]-$L$4)+ABS(Table1[[#This Row],[sepal_width]]-$M$4)+ABS(Table1[[#This Row],[petal_length]]-$N$4)+ABS(Table1[[#This Row],[petal_width]]-$O$4)</f>
        <v>2.5499999999999998</v>
      </c>
      <c r="J134" s="70">
        <f>RANK(Table1[[#This Row],[Manhattan
Distance]],Table1[Manhattan
Distance],1)</f>
        <v>71</v>
      </c>
    </row>
    <row r="135" spans="1:10">
      <c r="A135" s="86">
        <v>134</v>
      </c>
      <c r="B135" s="87">
        <v>6.3</v>
      </c>
      <c r="C135" s="51">
        <v>2.8</v>
      </c>
      <c r="D135" s="51">
        <v>5.0999999999999996</v>
      </c>
      <c r="E135" s="51">
        <v>1.5</v>
      </c>
      <c r="F135" s="70" t="s">
        <v>81</v>
      </c>
      <c r="G135" s="71">
        <f>SQRT((Table1[[#This Row],[sepal_length]]-$L$4)^2+(Table1[[#This Row],[sepal_width]]-$M$4)^2+(Table1[[#This Row],[petal_length]]-$N$4)^2+(Table1[[#This Row],[petal_width]]-$O$4)^2)</f>
        <v>1.0781929326423914</v>
      </c>
      <c r="H135" s="52">
        <f>RANK(Table1[[#This Row],[Euclidean
Distance]],Table1[Euclidean
Distance],1)</f>
        <v>34</v>
      </c>
      <c r="I135" s="88">
        <f>ABS(Table1[[#This Row],[sepal_length]]-$L$4)+ABS(Table1[[#This Row],[sepal_width]]-$M$4)+ABS(Table1[[#This Row],[petal_length]]-$N$4)+ABS(Table1[[#This Row],[petal_width]]-$O$4)</f>
        <v>1.4500000000000002</v>
      </c>
      <c r="J135" s="70">
        <f>RANK(Table1[[#This Row],[Manhattan
Distance]],Table1[Manhattan
Distance],1)</f>
        <v>19</v>
      </c>
    </row>
    <row r="136" spans="1:10">
      <c r="A136" s="86">
        <v>135</v>
      </c>
      <c r="B136" s="87">
        <v>6.1</v>
      </c>
      <c r="C136" s="51">
        <v>2.6</v>
      </c>
      <c r="D136" s="51">
        <v>5.6</v>
      </c>
      <c r="E136" s="51">
        <v>1.4</v>
      </c>
      <c r="F136" s="70" t="s">
        <v>81</v>
      </c>
      <c r="G136" s="71">
        <f>SQRT((Table1[[#This Row],[sepal_length]]-$L$4)^2+(Table1[[#This Row],[sepal_width]]-$M$4)^2+(Table1[[#This Row],[petal_length]]-$N$4)^2+(Table1[[#This Row],[petal_width]]-$O$4)^2)</f>
        <v>1.625576820700886</v>
      </c>
      <c r="H136" s="52">
        <f>RANK(Table1[[#This Row],[Euclidean
Distance]],Table1[Euclidean
Distance],1)</f>
        <v>71</v>
      </c>
      <c r="I136" s="88">
        <f>ABS(Table1[[#This Row],[sepal_length]]-$L$4)+ABS(Table1[[#This Row],[sepal_width]]-$M$4)+ABS(Table1[[#This Row],[petal_length]]-$N$4)+ABS(Table1[[#This Row],[petal_width]]-$O$4)</f>
        <v>2.3500000000000005</v>
      </c>
      <c r="J136" s="70">
        <f>RANK(Table1[[#This Row],[Manhattan
Distance]],Table1[Manhattan
Distance],1)</f>
        <v>64</v>
      </c>
    </row>
    <row r="137" spans="1:10">
      <c r="A137" s="86">
        <v>136</v>
      </c>
      <c r="B137" s="87">
        <v>7.7</v>
      </c>
      <c r="C137" s="51">
        <v>3</v>
      </c>
      <c r="D137" s="51">
        <v>6.1</v>
      </c>
      <c r="E137" s="51">
        <v>2.2999999999999998</v>
      </c>
      <c r="F137" s="70" t="s">
        <v>81</v>
      </c>
      <c r="G137" s="71">
        <f>SQRT((Table1[[#This Row],[sepal_length]]-$L$4)^2+(Table1[[#This Row],[sepal_width]]-$M$4)^2+(Table1[[#This Row],[petal_length]]-$N$4)^2+(Table1[[#This Row],[petal_width]]-$O$4)^2)</f>
        <v>2.3879907872519106</v>
      </c>
      <c r="H137" s="52">
        <f>RANK(Table1[[#This Row],[Euclidean
Distance]],Table1[Euclidean
Distance],1)</f>
        <v>94</v>
      </c>
      <c r="I137" s="88">
        <f>ABS(Table1[[#This Row],[sepal_length]]-$L$4)+ABS(Table1[[#This Row],[sepal_width]]-$M$4)+ABS(Table1[[#This Row],[petal_length]]-$N$4)+ABS(Table1[[#This Row],[petal_width]]-$O$4)</f>
        <v>4.05</v>
      </c>
      <c r="J137" s="70">
        <f>RANK(Table1[[#This Row],[Manhattan
Distance]],Table1[Manhattan
Distance],1)</f>
        <v>94</v>
      </c>
    </row>
    <row r="138" spans="1:10">
      <c r="A138" s="86">
        <v>137</v>
      </c>
      <c r="B138" s="87">
        <v>6.3</v>
      </c>
      <c r="C138" s="51">
        <v>3.4</v>
      </c>
      <c r="D138" s="51">
        <v>5.6</v>
      </c>
      <c r="E138" s="51">
        <v>2.4</v>
      </c>
      <c r="F138" s="70" t="s">
        <v>81</v>
      </c>
      <c r="G138" s="71">
        <f>SQRT((Table1[[#This Row],[sepal_length]]-$L$4)^2+(Table1[[#This Row],[sepal_width]]-$M$4)^2+(Table1[[#This Row],[petal_length]]-$N$4)^2+(Table1[[#This Row],[petal_width]]-$O$4)^2)</f>
        <v>1.9085334683992314</v>
      </c>
      <c r="H138" s="52">
        <f>RANK(Table1[[#This Row],[Euclidean
Distance]],Table1[Euclidean
Distance],1)</f>
        <v>82</v>
      </c>
      <c r="I138" s="88">
        <f>ABS(Table1[[#This Row],[sepal_length]]-$L$4)+ABS(Table1[[#This Row],[sepal_width]]-$M$4)+ABS(Table1[[#This Row],[petal_length]]-$N$4)+ABS(Table1[[#This Row],[petal_width]]-$O$4)</f>
        <v>3.45</v>
      </c>
      <c r="J138" s="70">
        <f>RANK(Table1[[#This Row],[Manhattan
Distance]],Table1[Manhattan
Distance],1)</f>
        <v>90</v>
      </c>
    </row>
    <row r="139" spans="1:10">
      <c r="A139" s="86">
        <v>138</v>
      </c>
      <c r="B139" s="87">
        <v>6.4</v>
      </c>
      <c r="C139" s="51">
        <v>3.1</v>
      </c>
      <c r="D139" s="51">
        <v>5.5</v>
      </c>
      <c r="E139" s="51">
        <v>1.8</v>
      </c>
      <c r="F139" s="70" t="s">
        <v>81</v>
      </c>
      <c r="G139" s="71">
        <f>SQRT((Table1[[#This Row],[sepal_length]]-$L$4)^2+(Table1[[#This Row],[sepal_width]]-$M$4)^2+(Table1[[#This Row],[petal_length]]-$N$4)^2+(Table1[[#This Row],[petal_width]]-$O$4)^2)</f>
        <v>1.5041608956491328</v>
      </c>
      <c r="H139" s="52">
        <f>RANK(Table1[[#This Row],[Euclidean
Distance]],Table1[Euclidean
Distance],1)</f>
        <v>65</v>
      </c>
      <c r="I139" s="88">
        <f>ABS(Table1[[#This Row],[sepal_length]]-$L$4)+ABS(Table1[[#This Row],[sepal_width]]-$M$4)+ABS(Table1[[#This Row],[petal_length]]-$N$4)+ABS(Table1[[#This Row],[petal_width]]-$O$4)</f>
        <v>2.3500000000000005</v>
      </c>
      <c r="J139" s="70">
        <f>RANK(Table1[[#This Row],[Manhattan
Distance]],Table1[Manhattan
Distance],1)</f>
        <v>64</v>
      </c>
    </row>
    <row r="140" spans="1:10">
      <c r="A140" s="86">
        <v>139</v>
      </c>
      <c r="B140" s="87">
        <v>6</v>
      </c>
      <c r="C140" s="51">
        <v>3</v>
      </c>
      <c r="D140" s="51">
        <v>4.8</v>
      </c>
      <c r="E140" s="51">
        <v>1.8</v>
      </c>
      <c r="F140" s="70" t="s">
        <v>81</v>
      </c>
      <c r="G140" s="71">
        <f>SQRT((Table1[[#This Row],[sepal_length]]-$L$4)^2+(Table1[[#This Row],[sepal_width]]-$M$4)^2+(Table1[[#This Row],[petal_length]]-$N$4)^2+(Table1[[#This Row],[petal_width]]-$O$4)^2)</f>
        <v>1.0641898326896384</v>
      </c>
      <c r="H140" s="52">
        <f>RANK(Table1[[#This Row],[Euclidean
Distance]],Table1[Euclidean
Distance],1)</f>
        <v>32</v>
      </c>
      <c r="I140" s="88">
        <f>ABS(Table1[[#This Row],[sepal_length]]-$L$4)+ABS(Table1[[#This Row],[sepal_width]]-$M$4)+ABS(Table1[[#This Row],[petal_length]]-$N$4)+ABS(Table1[[#This Row],[petal_width]]-$O$4)</f>
        <v>1.9500000000000004</v>
      </c>
      <c r="J140" s="70">
        <f>RANK(Table1[[#This Row],[Manhattan
Distance]],Table1[Manhattan
Distance],1)</f>
        <v>46</v>
      </c>
    </row>
    <row r="141" spans="1:10">
      <c r="A141" s="86">
        <v>140</v>
      </c>
      <c r="B141" s="87">
        <v>6.9</v>
      </c>
      <c r="C141" s="51">
        <v>3.1</v>
      </c>
      <c r="D141" s="51">
        <v>5.4</v>
      </c>
      <c r="E141" s="51">
        <v>2.1</v>
      </c>
      <c r="F141" s="70" t="s">
        <v>81</v>
      </c>
      <c r="G141" s="71">
        <f>SQRT((Table1[[#This Row],[sepal_length]]-$L$4)^2+(Table1[[#This Row],[sepal_width]]-$M$4)^2+(Table1[[#This Row],[petal_length]]-$N$4)^2+(Table1[[#This Row],[petal_width]]-$O$4)^2)</f>
        <v>1.4874474780643525</v>
      </c>
      <c r="H141" s="52">
        <f>RANK(Table1[[#This Row],[Euclidean
Distance]],Table1[Euclidean
Distance],1)</f>
        <v>64</v>
      </c>
      <c r="I141" s="88">
        <f>ABS(Table1[[#This Row],[sepal_length]]-$L$4)+ABS(Table1[[#This Row],[sepal_width]]-$M$4)+ABS(Table1[[#This Row],[petal_length]]-$N$4)+ABS(Table1[[#This Row],[petal_width]]-$O$4)</f>
        <v>2.4500000000000011</v>
      </c>
      <c r="J141" s="70">
        <f>RANK(Table1[[#This Row],[Manhattan
Distance]],Table1[Manhattan
Distance],1)</f>
        <v>69</v>
      </c>
    </row>
    <row r="142" spans="1:10">
      <c r="A142" s="86">
        <v>141</v>
      </c>
      <c r="B142" s="87">
        <v>6.7</v>
      </c>
      <c r="C142" s="51">
        <v>3.1</v>
      </c>
      <c r="D142" s="51">
        <v>5.6</v>
      </c>
      <c r="E142" s="51">
        <v>2.4</v>
      </c>
      <c r="F142" s="70" t="s">
        <v>81</v>
      </c>
      <c r="G142" s="71">
        <f>SQRT((Table1[[#This Row],[sepal_length]]-$L$4)^2+(Table1[[#This Row],[sepal_width]]-$M$4)^2+(Table1[[#This Row],[petal_length]]-$N$4)^2+(Table1[[#This Row],[petal_width]]-$O$4)^2)</f>
        <v>1.7839562774911273</v>
      </c>
      <c r="H142" s="52">
        <f>RANK(Table1[[#This Row],[Euclidean
Distance]],Table1[Euclidean
Distance],1)</f>
        <v>76</v>
      </c>
      <c r="I142" s="88">
        <f>ABS(Table1[[#This Row],[sepal_length]]-$L$4)+ABS(Table1[[#This Row],[sepal_width]]-$M$4)+ABS(Table1[[#This Row],[petal_length]]-$N$4)+ABS(Table1[[#This Row],[petal_width]]-$O$4)</f>
        <v>2.75</v>
      </c>
      <c r="J142" s="70">
        <f>RANK(Table1[[#This Row],[Manhattan
Distance]],Table1[Manhattan
Distance],1)</f>
        <v>75</v>
      </c>
    </row>
    <row r="143" spans="1:10">
      <c r="A143" s="86">
        <v>142</v>
      </c>
      <c r="B143" s="87">
        <v>6.9</v>
      </c>
      <c r="C143" s="51">
        <v>3.1</v>
      </c>
      <c r="D143" s="51">
        <v>5.0999999999999996</v>
      </c>
      <c r="E143" s="51">
        <v>2.2999999999999998</v>
      </c>
      <c r="F143" s="70" t="s">
        <v>81</v>
      </c>
      <c r="G143" s="71">
        <f>SQRT((Table1[[#This Row],[sepal_length]]-$L$4)^2+(Table1[[#This Row],[sepal_width]]-$M$4)^2+(Table1[[#This Row],[petal_length]]-$N$4)^2+(Table1[[#This Row],[petal_width]]-$O$4)^2)</f>
        <v>1.3425721582097552</v>
      </c>
      <c r="H143" s="52">
        <f>RANK(Table1[[#This Row],[Euclidean
Distance]],Table1[Euclidean
Distance],1)</f>
        <v>54</v>
      </c>
      <c r="I143" s="88">
        <f>ABS(Table1[[#This Row],[sepal_length]]-$L$4)+ABS(Table1[[#This Row],[sepal_width]]-$M$4)+ABS(Table1[[#This Row],[petal_length]]-$N$4)+ABS(Table1[[#This Row],[petal_width]]-$O$4)</f>
        <v>2.35</v>
      </c>
      <c r="J143" s="70">
        <f>RANK(Table1[[#This Row],[Manhattan
Distance]],Table1[Manhattan
Distance],1)</f>
        <v>60</v>
      </c>
    </row>
    <row r="144" spans="1:10">
      <c r="A144" s="86">
        <v>143</v>
      </c>
      <c r="B144" s="87">
        <v>5.8</v>
      </c>
      <c r="C144" s="51">
        <v>2.7</v>
      </c>
      <c r="D144" s="51">
        <v>5.0999999999999996</v>
      </c>
      <c r="E144" s="51">
        <v>1.9</v>
      </c>
      <c r="F144" s="70" t="s">
        <v>81</v>
      </c>
      <c r="G144" s="71">
        <f>SQRT((Table1[[#This Row],[sepal_length]]-$L$4)^2+(Table1[[#This Row],[sepal_width]]-$M$4)^2+(Table1[[#This Row],[petal_length]]-$N$4)^2+(Table1[[#This Row],[petal_width]]-$O$4)^2)</f>
        <v>1.4044571905188141</v>
      </c>
      <c r="H144" s="52">
        <f>RANK(Table1[[#This Row],[Euclidean
Distance]],Table1[Euclidean
Distance],1)</f>
        <v>59</v>
      </c>
      <c r="I144" s="88">
        <f>ABS(Table1[[#This Row],[sepal_length]]-$L$4)+ABS(Table1[[#This Row],[sepal_width]]-$M$4)+ABS(Table1[[#This Row],[petal_length]]-$N$4)+ABS(Table1[[#This Row],[petal_width]]-$O$4)</f>
        <v>2.35</v>
      </c>
      <c r="J144" s="70">
        <f>RANK(Table1[[#This Row],[Manhattan
Distance]],Table1[Manhattan
Distance],1)</f>
        <v>60</v>
      </c>
    </row>
    <row r="145" spans="1:10">
      <c r="A145" s="86">
        <v>144</v>
      </c>
      <c r="B145" s="87">
        <v>6.8</v>
      </c>
      <c r="C145" s="51">
        <v>3.2</v>
      </c>
      <c r="D145" s="51">
        <v>5.9</v>
      </c>
      <c r="E145" s="51">
        <v>2.2999999999999998</v>
      </c>
      <c r="F145" s="70" t="s">
        <v>81</v>
      </c>
      <c r="G145" s="71">
        <f>SQRT((Table1[[#This Row],[sepal_length]]-$L$4)^2+(Table1[[#This Row],[sepal_width]]-$M$4)^2+(Table1[[#This Row],[petal_length]]-$N$4)^2+(Table1[[#This Row],[petal_width]]-$O$4)^2)</f>
        <v>2.0229928324143915</v>
      </c>
      <c r="H145" s="52">
        <f>RANK(Table1[[#This Row],[Euclidean
Distance]],Table1[Euclidean
Distance],1)</f>
        <v>88</v>
      </c>
      <c r="I145" s="88">
        <f>ABS(Table1[[#This Row],[sepal_length]]-$L$4)+ABS(Table1[[#This Row],[sepal_width]]-$M$4)+ABS(Table1[[#This Row],[petal_length]]-$N$4)+ABS(Table1[[#This Row],[petal_width]]-$O$4)</f>
        <v>3.1500000000000004</v>
      </c>
      <c r="J145" s="70">
        <f>RANK(Table1[[#This Row],[Manhattan
Distance]],Table1[Manhattan
Distance],1)</f>
        <v>83</v>
      </c>
    </row>
    <row r="146" spans="1:10">
      <c r="A146" s="86">
        <v>145</v>
      </c>
      <c r="B146" s="87">
        <v>6.7</v>
      </c>
      <c r="C146" s="51">
        <v>3.3</v>
      </c>
      <c r="D146" s="51">
        <v>5.7</v>
      </c>
      <c r="E146" s="51">
        <v>2.5</v>
      </c>
      <c r="F146" s="70" t="s">
        <v>81</v>
      </c>
      <c r="G146" s="71">
        <f>SQRT((Table1[[#This Row],[sepal_length]]-$L$4)^2+(Table1[[#This Row],[sepal_width]]-$M$4)^2+(Table1[[#This Row],[petal_length]]-$N$4)^2+(Table1[[#This Row],[petal_width]]-$O$4)^2)</f>
        <v>1.965324400703355</v>
      </c>
      <c r="H146" s="52">
        <f>RANK(Table1[[#This Row],[Euclidean
Distance]],Table1[Euclidean
Distance],1)</f>
        <v>84</v>
      </c>
      <c r="I146" s="88">
        <f>ABS(Table1[[#This Row],[sepal_length]]-$L$4)+ABS(Table1[[#This Row],[sepal_width]]-$M$4)+ABS(Table1[[#This Row],[petal_length]]-$N$4)+ABS(Table1[[#This Row],[petal_width]]-$O$4)</f>
        <v>3.1500000000000004</v>
      </c>
      <c r="J146" s="70">
        <f>RANK(Table1[[#This Row],[Manhattan
Distance]],Table1[Manhattan
Distance],1)</f>
        <v>83</v>
      </c>
    </row>
    <row r="147" spans="1:10">
      <c r="A147" s="86">
        <v>146</v>
      </c>
      <c r="B147" s="87">
        <v>6.7</v>
      </c>
      <c r="C147" s="51">
        <v>3</v>
      </c>
      <c r="D147" s="51">
        <v>5.2</v>
      </c>
      <c r="E147" s="51">
        <v>2.2999999999999998</v>
      </c>
      <c r="F147" s="70" t="s">
        <v>81</v>
      </c>
      <c r="G147" s="71">
        <f>SQRT((Table1[[#This Row],[sepal_length]]-$L$4)^2+(Table1[[#This Row],[sepal_width]]-$M$4)^2+(Table1[[#This Row],[petal_length]]-$N$4)^2+(Table1[[#This Row],[petal_width]]-$O$4)^2)</f>
        <v>1.3829316685939335</v>
      </c>
      <c r="H147" s="52">
        <f>RANK(Table1[[#This Row],[Euclidean
Distance]],Table1[Euclidean
Distance],1)</f>
        <v>57</v>
      </c>
      <c r="I147" s="88">
        <f>ABS(Table1[[#This Row],[sepal_length]]-$L$4)+ABS(Table1[[#This Row],[sepal_width]]-$M$4)+ABS(Table1[[#This Row],[petal_length]]-$N$4)+ABS(Table1[[#This Row],[petal_width]]-$O$4)</f>
        <v>2.1500000000000004</v>
      </c>
      <c r="J147" s="70">
        <f>RANK(Table1[[#This Row],[Manhattan
Distance]],Table1[Manhattan
Distance],1)</f>
        <v>51</v>
      </c>
    </row>
    <row r="148" spans="1:10">
      <c r="A148" s="86">
        <v>147</v>
      </c>
      <c r="B148" s="87">
        <v>6.3</v>
      </c>
      <c r="C148" s="51">
        <v>2.5</v>
      </c>
      <c r="D148" s="51">
        <v>5</v>
      </c>
      <c r="E148" s="51">
        <v>1.9</v>
      </c>
      <c r="F148" s="70" t="s">
        <v>81</v>
      </c>
      <c r="G148" s="71">
        <f>SQRT((Table1[[#This Row],[sepal_length]]-$L$4)^2+(Table1[[#This Row],[sepal_width]]-$M$4)^2+(Table1[[#This Row],[petal_length]]-$N$4)^2+(Table1[[#This Row],[petal_width]]-$O$4)^2)</f>
        <v>1.092016483392078</v>
      </c>
      <c r="H148" s="52">
        <f>RANK(Table1[[#This Row],[Euclidean
Distance]],Table1[Euclidean
Distance],1)</f>
        <v>36</v>
      </c>
      <c r="I148" s="88">
        <f>ABS(Table1[[#This Row],[sepal_length]]-$L$4)+ABS(Table1[[#This Row],[sepal_width]]-$M$4)+ABS(Table1[[#This Row],[petal_length]]-$N$4)+ABS(Table1[[#This Row],[petal_width]]-$O$4)</f>
        <v>1.9500000000000006</v>
      </c>
      <c r="J148" s="70">
        <f>RANK(Table1[[#This Row],[Manhattan
Distance]],Table1[Manhattan
Distance],1)</f>
        <v>47</v>
      </c>
    </row>
    <row r="149" spans="1:10">
      <c r="A149" s="86">
        <v>148</v>
      </c>
      <c r="B149" s="87">
        <v>6.5</v>
      </c>
      <c r="C149" s="51">
        <v>3</v>
      </c>
      <c r="D149" s="51">
        <v>5.2</v>
      </c>
      <c r="E149" s="51">
        <v>2</v>
      </c>
      <c r="F149" s="70" t="s">
        <v>81</v>
      </c>
      <c r="G149" s="71">
        <f>SQRT((Table1[[#This Row],[sepal_length]]-$L$4)^2+(Table1[[#This Row],[sepal_width]]-$M$4)^2+(Table1[[#This Row],[petal_length]]-$N$4)^2+(Table1[[#This Row],[petal_width]]-$O$4)^2)</f>
        <v>1.2500000000000004</v>
      </c>
      <c r="H149" s="52">
        <f>RANK(Table1[[#This Row],[Euclidean
Distance]],Table1[Euclidean
Distance],1)</f>
        <v>47</v>
      </c>
      <c r="I149" s="88">
        <f>ABS(Table1[[#This Row],[sepal_length]]-$L$4)+ABS(Table1[[#This Row],[sepal_width]]-$M$4)+ABS(Table1[[#This Row],[petal_length]]-$N$4)+ABS(Table1[[#This Row],[petal_width]]-$O$4)</f>
        <v>2.0500000000000007</v>
      </c>
      <c r="J149" s="70">
        <f>RANK(Table1[[#This Row],[Manhattan
Distance]],Table1[Manhattan
Distance],1)</f>
        <v>50</v>
      </c>
    </row>
    <row r="150" spans="1:10">
      <c r="A150" s="86">
        <v>149</v>
      </c>
      <c r="B150" s="87">
        <v>6.2</v>
      </c>
      <c r="C150" s="51">
        <v>3.4</v>
      </c>
      <c r="D150" s="51">
        <v>5.4</v>
      </c>
      <c r="E150" s="51">
        <v>2.2999999999999998</v>
      </c>
      <c r="F150" s="70" t="s">
        <v>81</v>
      </c>
      <c r="G150" s="71">
        <f>SQRT((Table1[[#This Row],[sepal_length]]-$L$4)^2+(Table1[[#This Row],[sepal_width]]-$M$4)^2+(Table1[[#This Row],[petal_length]]-$N$4)^2+(Table1[[#This Row],[petal_width]]-$O$4)^2)</f>
        <v>1.7327723451163459</v>
      </c>
      <c r="H150" s="52">
        <f>RANK(Table1[[#This Row],[Euclidean
Distance]],Table1[Euclidean
Distance],1)</f>
        <v>74</v>
      </c>
      <c r="I150" s="88">
        <f>ABS(Table1[[#This Row],[sepal_length]]-$L$4)+ABS(Table1[[#This Row],[sepal_width]]-$M$4)+ABS(Table1[[#This Row],[petal_length]]-$N$4)+ABS(Table1[[#This Row],[petal_width]]-$O$4)</f>
        <v>3.2500000000000004</v>
      </c>
      <c r="J150" s="70">
        <f>RANK(Table1[[#This Row],[Manhattan
Distance]],Table1[Manhattan
Distance],1)</f>
        <v>87</v>
      </c>
    </row>
    <row r="151" spans="1:10" ht="15" thickBot="1">
      <c r="A151" s="96">
        <v>150</v>
      </c>
      <c r="B151" s="97">
        <v>5.9</v>
      </c>
      <c r="C151" s="98">
        <v>3</v>
      </c>
      <c r="D151" s="98">
        <v>5.0999999999999996</v>
      </c>
      <c r="E151" s="98">
        <v>1.8</v>
      </c>
      <c r="F151" s="99" t="s">
        <v>81</v>
      </c>
      <c r="G151" s="74">
        <f>SQRT((Table1[[#This Row],[sepal_length]]-$L$4)^2+(Table1[[#This Row],[sepal_width]]-$M$4)^2+(Table1[[#This Row],[petal_length]]-$N$4)^2+(Table1[[#This Row],[petal_width]]-$O$4)^2)</f>
        <v>1.3388427838995882</v>
      </c>
      <c r="H151" s="60">
        <f>RANK(Table1[[#This Row],[Euclidean
Distance]],Table1[Euclidean
Distance],1)</f>
        <v>53</v>
      </c>
      <c r="I151" s="100">
        <f>ABS(Table1[[#This Row],[sepal_length]]-$L$4)+ABS(Table1[[#This Row],[sepal_width]]-$M$4)+ABS(Table1[[#This Row],[petal_length]]-$N$4)+ABS(Table1[[#This Row],[petal_width]]-$O$4)</f>
        <v>2.3499999999999996</v>
      </c>
      <c r="J151" s="99">
        <f>RANK(Table1[[#This Row],[Manhattan
Distance]],Table1[Manhattan
Distance],1)</f>
        <v>59</v>
      </c>
    </row>
  </sheetData>
  <mergeCells count="1">
    <mergeCell ref="L2:P2"/>
  </mergeCells>
  <conditionalFormatting sqref="G2:G151">
    <cfRule type="top10" dxfId="3" priority="4" bottom="1" rank="5"/>
  </conditionalFormatting>
  <conditionalFormatting sqref="H2:H151">
    <cfRule type="top10" dxfId="2" priority="3" bottom="1" rank="5"/>
  </conditionalFormatting>
  <conditionalFormatting sqref="I2:I151">
    <cfRule type="top10" dxfId="1" priority="2" bottom="1" rank="5"/>
  </conditionalFormatting>
  <conditionalFormatting sqref="J2:J151">
    <cfRule type="top10" dxfId="0" priority="1" bottom="1" rank="5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631E-9C27-4C82-A696-9DE18619ACA8}">
  <dimension ref="A1:Q151"/>
  <sheetViews>
    <sheetView zoomScale="120" zoomScaleNormal="120" workbookViewId="0"/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9.77734375" style="1" bestFit="1" customWidth="1"/>
    <col min="7" max="7" width="9.6640625" style="1" bestFit="1" customWidth="1"/>
    <col min="8" max="8" width="5.44140625" style="1" customWidth="1"/>
    <col min="9" max="9" width="11.33203125" style="1" bestFit="1" customWidth="1"/>
    <col min="10" max="10" width="6.77734375" style="1" customWidth="1"/>
    <col min="11" max="11" width="3.21875" style="1" customWidth="1"/>
    <col min="12" max="12" width="12.5546875" style="1" bestFit="1" customWidth="1"/>
    <col min="13" max="13" width="12.109375" style="1" bestFit="1" customWidth="1"/>
    <col min="14" max="14" width="12.44140625" style="1" bestFit="1" customWidth="1"/>
    <col min="15" max="15" width="12" style="1" bestFit="1" customWidth="1"/>
    <col min="16" max="16" width="10" style="1" bestFit="1" customWidth="1"/>
    <col min="17" max="16384" width="8.88671875" style="1"/>
  </cols>
  <sheetData>
    <row r="1" spans="1:17" ht="29.4" thickBot="1">
      <c r="A1" s="75" t="s">
        <v>82</v>
      </c>
      <c r="B1" s="76" t="s">
        <v>83</v>
      </c>
      <c r="C1" s="76" t="s">
        <v>84</v>
      </c>
      <c r="D1" s="76" t="s">
        <v>85</v>
      </c>
      <c r="E1" s="76" t="s">
        <v>86</v>
      </c>
      <c r="F1" s="76" t="s">
        <v>87</v>
      </c>
      <c r="G1" s="76" t="s">
        <v>73</v>
      </c>
      <c r="H1" s="77" t="s">
        <v>74</v>
      </c>
      <c r="I1" s="75" t="s">
        <v>75</v>
      </c>
      <c r="J1" s="78" t="s">
        <v>88</v>
      </c>
    </row>
    <row r="2" spans="1:17" ht="15" thickBot="1">
      <c r="A2" s="79">
        <v>1</v>
      </c>
      <c r="B2" s="80">
        <v>5.0999999999999996</v>
      </c>
      <c r="C2" s="81">
        <v>3.5</v>
      </c>
      <c r="D2" s="81">
        <v>1.4</v>
      </c>
      <c r="E2" s="81">
        <v>0.2</v>
      </c>
      <c r="F2" s="82" t="s">
        <v>77</v>
      </c>
      <c r="G2" s="83"/>
      <c r="H2" s="84"/>
      <c r="I2" s="85"/>
      <c r="J2" s="82"/>
      <c r="L2" s="299" t="s">
        <v>76</v>
      </c>
      <c r="M2" s="299"/>
      <c r="N2" s="299"/>
      <c r="O2" s="299"/>
      <c r="P2" s="299"/>
    </row>
    <row r="3" spans="1:17" ht="15" thickBot="1">
      <c r="A3" s="86">
        <v>2</v>
      </c>
      <c r="B3" s="87">
        <v>4.9000000000000004</v>
      </c>
      <c r="C3" s="51">
        <v>3</v>
      </c>
      <c r="D3" s="51">
        <v>1.4</v>
      </c>
      <c r="E3" s="51">
        <v>0.2</v>
      </c>
      <c r="F3" s="70" t="s">
        <v>77</v>
      </c>
      <c r="G3" s="71"/>
      <c r="H3" s="52"/>
      <c r="I3" s="101"/>
      <c r="J3" s="70"/>
      <c r="L3" s="40" t="s">
        <v>83</v>
      </c>
      <c r="M3" s="89" t="s">
        <v>84</v>
      </c>
      <c r="N3" s="89" t="s">
        <v>85</v>
      </c>
      <c r="O3" s="90" t="s">
        <v>86</v>
      </c>
      <c r="P3" s="91" t="s">
        <v>72</v>
      </c>
    </row>
    <row r="4" spans="1:17" ht="15" thickBot="1">
      <c r="A4" s="86">
        <v>3</v>
      </c>
      <c r="B4" s="87">
        <v>4.7</v>
      </c>
      <c r="C4" s="51">
        <v>3.2</v>
      </c>
      <c r="D4" s="51">
        <v>1.3</v>
      </c>
      <c r="E4" s="51">
        <v>0.2</v>
      </c>
      <c r="F4" s="70" t="s">
        <v>77</v>
      </c>
      <c r="G4" s="71"/>
      <c r="H4" s="52"/>
      <c r="I4" s="101"/>
      <c r="J4" s="70"/>
      <c r="L4" s="92">
        <v>6.7</v>
      </c>
      <c r="M4" s="93">
        <v>2.75</v>
      </c>
      <c r="N4" s="93">
        <v>4.0999999999999996</v>
      </c>
      <c r="O4" s="94">
        <v>1.5</v>
      </c>
      <c r="P4" s="95"/>
      <c r="Q4" s="48" t="s">
        <v>79</v>
      </c>
    </row>
    <row r="5" spans="1:17">
      <c r="A5" s="86">
        <v>4</v>
      </c>
      <c r="B5" s="87">
        <v>4.5999999999999996</v>
      </c>
      <c r="C5" s="51">
        <v>3.1</v>
      </c>
      <c r="D5" s="51">
        <v>1.5</v>
      </c>
      <c r="E5" s="51">
        <v>0.2</v>
      </c>
      <c r="F5" s="70" t="s">
        <v>77</v>
      </c>
      <c r="G5" s="71"/>
      <c r="H5" s="52"/>
      <c r="I5" s="101"/>
      <c r="J5" s="70"/>
    </row>
    <row r="6" spans="1:17">
      <c r="A6" s="86">
        <v>5</v>
      </c>
      <c r="B6" s="87">
        <v>5</v>
      </c>
      <c r="C6" s="51">
        <v>3.6</v>
      </c>
      <c r="D6" s="51">
        <v>1.4</v>
      </c>
      <c r="E6" s="51">
        <v>0.2</v>
      </c>
      <c r="F6" s="70" t="s">
        <v>77</v>
      </c>
      <c r="G6" s="71"/>
      <c r="H6" s="52"/>
      <c r="I6" s="101"/>
      <c r="J6" s="70"/>
      <c r="Q6" s="1" t="s">
        <v>90</v>
      </c>
    </row>
    <row r="7" spans="1:17">
      <c r="A7" s="86">
        <v>6</v>
      </c>
      <c r="B7" s="87">
        <v>5.4</v>
      </c>
      <c r="C7" s="51">
        <v>3.9</v>
      </c>
      <c r="D7" s="51">
        <v>1.7</v>
      </c>
      <c r="E7" s="51">
        <v>0.4</v>
      </c>
      <c r="F7" s="70" t="s">
        <v>77</v>
      </c>
      <c r="G7" s="71"/>
      <c r="H7" s="52"/>
      <c r="I7" s="101"/>
      <c r="J7" s="70"/>
      <c r="Q7" s="1" t="s">
        <v>91</v>
      </c>
    </row>
    <row r="8" spans="1:17">
      <c r="A8" s="86">
        <v>7</v>
      </c>
      <c r="B8" s="87">
        <v>4.5999999999999996</v>
      </c>
      <c r="C8" s="51">
        <v>3.4</v>
      </c>
      <c r="D8" s="51">
        <v>1.4</v>
      </c>
      <c r="E8" s="51">
        <v>0.3</v>
      </c>
      <c r="F8" s="70" t="s">
        <v>77</v>
      </c>
      <c r="G8" s="71"/>
      <c r="H8" s="52"/>
      <c r="I8" s="101"/>
      <c r="J8" s="70"/>
    </row>
    <row r="9" spans="1:17">
      <c r="A9" s="86">
        <v>8</v>
      </c>
      <c r="B9" s="87">
        <v>5</v>
      </c>
      <c r="C9" s="51">
        <v>3.4</v>
      </c>
      <c r="D9" s="51">
        <v>1.5</v>
      </c>
      <c r="E9" s="51">
        <v>0.2</v>
      </c>
      <c r="F9" s="70" t="s">
        <v>77</v>
      </c>
      <c r="G9" s="71"/>
      <c r="H9" s="52"/>
      <c r="I9" s="101"/>
      <c r="J9" s="70"/>
    </row>
    <row r="10" spans="1:17">
      <c r="A10" s="86">
        <v>9</v>
      </c>
      <c r="B10" s="87">
        <v>4.4000000000000004</v>
      </c>
      <c r="C10" s="51">
        <v>2.9</v>
      </c>
      <c r="D10" s="51">
        <v>1.4</v>
      </c>
      <c r="E10" s="51">
        <v>0.2</v>
      </c>
      <c r="F10" s="70" t="s">
        <v>77</v>
      </c>
      <c r="G10" s="71"/>
      <c r="H10" s="52"/>
      <c r="I10" s="101"/>
      <c r="J10" s="70"/>
    </row>
    <row r="11" spans="1:17">
      <c r="A11" s="86">
        <v>10</v>
      </c>
      <c r="B11" s="87">
        <v>4.9000000000000004</v>
      </c>
      <c r="C11" s="51">
        <v>3.1</v>
      </c>
      <c r="D11" s="51">
        <v>1.5</v>
      </c>
      <c r="E11" s="51">
        <v>0.1</v>
      </c>
      <c r="F11" s="70" t="s">
        <v>77</v>
      </c>
      <c r="G11" s="71"/>
      <c r="H11" s="52"/>
      <c r="I11" s="101"/>
      <c r="J11" s="70"/>
    </row>
    <row r="12" spans="1:17">
      <c r="A12" s="86">
        <v>11</v>
      </c>
      <c r="B12" s="87">
        <v>5.4</v>
      </c>
      <c r="C12" s="51">
        <v>3.7</v>
      </c>
      <c r="D12" s="51">
        <v>1.5</v>
      </c>
      <c r="E12" s="51">
        <v>0.2</v>
      </c>
      <c r="F12" s="70" t="s">
        <v>77</v>
      </c>
      <c r="G12" s="71"/>
      <c r="H12" s="52"/>
      <c r="I12" s="101"/>
      <c r="J12" s="70"/>
    </row>
    <row r="13" spans="1:17">
      <c r="A13" s="86">
        <v>12</v>
      </c>
      <c r="B13" s="87">
        <v>4.8</v>
      </c>
      <c r="C13" s="51">
        <v>3.4</v>
      </c>
      <c r="D13" s="51">
        <v>1.6</v>
      </c>
      <c r="E13" s="51">
        <v>0.2</v>
      </c>
      <c r="F13" s="70" t="s">
        <v>77</v>
      </c>
      <c r="G13" s="71"/>
      <c r="H13" s="52"/>
      <c r="I13" s="101"/>
      <c r="J13" s="70"/>
    </row>
    <row r="14" spans="1:17">
      <c r="A14" s="86">
        <v>13</v>
      </c>
      <c r="B14" s="87">
        <v>4.8</v>
      </c>
      <c r="C14" s="51">
        <v>3</v>
      </c>
      <c r="D14" s="51">
        <v>1.4</v>
      </c>
      <c r="E14" s="51">
        <v>0.1</v>
      </c>
      <c r="F14" s="70" t="s">
        <v>77</v>
      </c>
      <c r="G14" s="71"/>
      <c r="H14" s="52"/>
      <c r="I14" s="101"/>
      <c r="J14" s="70"/>
    </row>
    <row r="15" spans="1:17">
      <c r="A15" s="86">
        <v>14</v>
      </c>
      <c r="B15" s="87">
        <v>4.3</v>
      </c>
      <c r="C15" s="51">
        <v>3</v>
      </c>
      <c r="D15" s="51">
        <v>1.1000000000000001</v>
      </c>
      <c r="E15" s="51">
        <v>0.1</v>
      </c>
      <c r="F15" s="70" t="s">
        <v>77</v>
      </c>
      <c r="G15" s="71"/>
      <c r="H15" s="52"/>
      <c r="I15" s="101"/>
      <c r="J15" s="70"/>
    </row>
    <row r="16" spans="1:17">
      <c r="A16" s="86">
        <v>15</v>
      </c>
      <c r="B16" s="87">
        <v>5.8</v>
      </c>
      <c r="C16" s="51">
        <v>4</v>
      </c>
      <c r="D16" s="51">
        <v>1.2</v>
      </c>
      <c r="E16" s="51">
        <v>0.2</v>
      </c>
      <c r="F16" s="70" t="s">
        <v>77</v>
      </c>
      <c r="G16" s="71"/>
      <c r="H16" s="52"/>
      <c r="I16" s="101"/>
      <c r="J16" s="70"/>
    </row>
    <row r="17" spans="1:10">
      <c r="A17" s="86">
        <v>16</v>
      </c>
      <c r="B17" s="87">
        <v>5.7</v>
      </c>
      <c r="C17" s="51">
        <v>4.4000000000000004</v>
      </c>
      <c r="D17" s="51">
        <v>1.5</v>
      </c>
      <c r="E17" s="51">
        <v>0.4</v>
      </c>
      <c r="F17" s="70" t="s">
        <v>77</v>
      </c>
      <c r="G17" s="71"/>
      <c r="H17" s="52"/>
      <c r="I17" s="101"/>
      <c r="J17" s="70"/>
    </row>
    <row r="18" spans="1:10">
      <c r="A18" s="86">
        <v>17</v>
      </c>
      <c r="B18" s="87">
        <v>5.4</v>
      </c>
      <c r="C18" s="51">
        <v>3.9</v>
      </c>
      <c r="D18" s="51">
        <v>1.3</v>
      </c>
      <c r="E18" s="51">
        <v>0.4</v>
      </c>
      <c r="F18" s="70" t="s">
        <v>77</v>
      </c>
      <c r="G18" s="71"/>
      <c r="H18" s="52"/>
      <c r="I18" s="101"/>
      <c r="J18" s="70"/>
    </row>
    <row r="19" spans="1:10">
      <c r="A19" s="86">
        <v>18</v>
      </c>
      <c r="B19" s="87">
        <v>5.0999999999999996</v>
      </c>
      <c r="C19" s="51">
        <v>3.5</v>
      </c>
      <c r="D19" s="51">
        <v>1.4</v>
      </c>
      <c r="E19" s="51">
        <v>0.3</v>
      </c>
      <c r="F19" s="70" t="s">
        <v>77</v>
      </c>
      <c r="G19" s="71"/>
      <c r="H19" s="52"/>
      <c r="I19" s="101"/>
      <c r="J19" s="70"/>
    </row>
    <row r="20" spans="1:10">
      <c r="A20" s="86">
        <v>19</v>
      </c>
      <c r="B20" s="87">
        <v>5.7</v>
      </c>
      <c r="C20" s="51">
        <v>3.8</v>
      </c>
      <c r="D20" s="51">
        <v>1.7</v>
      </c>
      <c r="E20" s="51">
        <v>0.3</v>
      </c>
      <c r="F20" s="70" t="s">
        <v>77</v>
      </c>
      <c r="G20" s="71"/>
      <c r="H20" s="52"/>
      <c r="I20" s="101"/>
      <c r="J20" s="70"/>
    </row>
    <row r="21" spans="1:10">
      <c r="A21" s="86">
        <v>20</v>
      </c>
      <c r="B21" s="87">
        <v>5.0999999999999996</v>
      </c>
      <c r="C21" s="51">
        <v>3.8</v>
      </c>
      <c r="D21" s="51">
        <v>1.5</v>
      </c>
      <c r="E21" s="51">
        <v>0.3</v>
      </c>
      <c r="F21" s="70" t="s">
        <v>77</v>
      </c>
      <c r="G21" s="71"/>
      <c r="H21" s="52"/>
      <c r="I21" s="101"/>
      <c r="J21" s="70"/>
    </row>
    <row r="22" spans="1:10">
      <c r="A22" s="86">
        <v>21</v>
      </c>
      <c r="B22" s="87">
        <v>5.4</v>
      </c>
      <c r="C22" s="51">
        <v>3.4</v>
      </c>
      <c r="D22" s="51">
        <v>1.7</v>
      </c>
      <c r="E22" s="51">
        <v>0.2</v>
      </c>
      <c r="F22" s="70" t="s">
        <v>77</v>
      </c>
      <c r="G22" s="71"/>
      <c r="H22" s="52"/>
      <c r="I22" s="101"/>
      <c r="J22" s="70"/>
    </row>
    <row r="23" spans="1:10">
      <c r="A23" s="86">
        <v>22</v>
      </c>
      <c r="B23" s="87">
        <v>5.0999999999999996</v>
      </c>
      <c r="C23" s="51">
        <v>3.7</v>
      </c>
      <c r="D23" s="51">
        <v>1.5</v>
      </c>
      <c r="E23" s="51">
        <v>0.4</v>
      </c>
      <c r="F23" s="70" t="s">
        <v>77</v>
      </c>
      <c r="G23" s="71"/>
      <c r="H23" s="52"/>
      <c r="I23" s="101"/>
      <c r="J23" s="70"/>
    </row>
    <row r="24" spans="1:10">
      <c r="A24" s="86">
        <v>23</v>
      </c>
      <c r="B24" s="87">
        <v>4.5999999999999996</v>
      </c>
      <c r="C24" s="51">
        <v>3.6</v>
      </c>
      <c r="D24" s="51">
        <v>1</v>
      </c>
      <c r="E24" s="51">
        <v>0.2</v>
      </c>
      <c r="F24" s="70" t="s">
        <v>77</v>
      </c>
      <c r="G24" s="71"/>
      <c r="H24" s="52"/>
      <c r="I24" s="101"/>
      <c r="J24" s="70"/>
    </row>
    <row r="25" spans="1:10">
      <c r="A25" s="86">
        <v>24</v>
      </c>
      <c r="B25" s="87">
        <v>5.0999999999999996</v>
      </c>
      <c r="C25" s="51">
        <v>3.3</v>
      </c>
      <c r="D25" s="51">
        <v>1.7</v>
      </c>
      <c r="E25" s="51">
        <v>0.5</v>
      </c>
      <c r="F25" s="70" t="s">
        <v>77</v>
      </c>
      <c r="G25" s="71"/>
      <c r="H25" s="52"/>
      <c r="I25" s="101"/>
      <c r="J25" s="70"/>
    </row>
    <row r="26" spans="1:10">
      <c r="A26" s="86">
        <v>25</v>
      </c>
      <c r="B26" s="87">
        <v>4.8</v>
      </c>
      <c r="C26" s="51">
        <v>3.4</v>
      </c>
      <c r="D26" s="51">
        <v>1.9</v>
      </c>
      <c r="E26" s="51">
        <v>0.2</v>
      </c>
      <c r="F26" s="70" t="s">
        <v>77</v>
      </c>
      <c r="G26" s="71"/>
      <c r="H26" s="52"/>
      <c r="I26" s="101"/>
      <c r="J26" s="70"/>
    </row>
    <row r="27" spans="1:10">
      <c r="A27" s="86">
        <v>26</v>
      </c>
      <c r="B27" s="87">
        <v>5</v>
      </c>
      <c r="C27" s="51">
        <v>3</v>
      </c>
      <c r="D27" s="51">
        <v>1.6</v>
      </c>
      <c r="E27" s="51">
        <v>0.2</v>
      </c>
      <c r="F27" s="70" t="s">
        <v>77</v>
      </c>
      <c r="G27" s="71"/>
      <c r="H27" s="52"/>
      <c r="I27" s="101"/>
      <c r="J27" s="70"/>
    </row>
    <row r="28" spans="1:10">
      <c r="A28" s="86">
        <v>27</v>
      </c>
      <c r="B28" s="87">
        <v>5</v>
      </c>
      <c r="C28" s="51">
        <v>3.4</v>
      </c>
      <c r="D28" s="51">
        <v>1.6</v>
      </c>
      <c r="E28" s="51">
        <v>0.4</v>
      </c>
      <c r="F28" s="70" t="s">
        <v>77</v>
      </c>
      <c r="G28" s="71"/>
      <c r="H28" s="52"/>
      <c r="I28" s="101"/>
      <c r="J28" s="70"/>
    </row>
    <row r="29" spans="1:10">
      <c r="A29" s="86">
        <v>28</v>
      </c>
      <c r="B29" s="87">
        <v>5.2</v>
      </c>
      <c r="C29" s="51">
        <v>3.5</v>
      </c>
      <c r="D29" s="51">
        <v>1.5</v>
      </c>
      <c r="E29" s="51">
        <v>0.2</v>
      </c>
      <c r="F29" s="70" t="s">
        <v>77</v>
      </c>
      <c r="G29" s="71"/>
      <c r="H29" s="52"/>
      <c r="I29" s="101"/>
      <c r="J29" s="70"/>
    </row>
    <row r="30" spans="1:10">
      <c r="A30" s="86">
        <v>29</v>
      </c>
      <c r="B30" s="87">
        <v>5.2</v>
      </c>
      <c r="C30" s="51">
        <v>3.4</v>
      </c>
      <c r="D30" s="51">
        <v>1.4</v>
      </c>
      <c r="E30" s="51">
        <v>0.2</v>
      </c>
      <c r="F30" s="70" t="s">
        <v>77</v>
      </c>
      <c r="G30" s="71"/>
      <c r="H30" s="52"/>
      <c r="I30" s="101"/>
      <c r="J30" s="70"/>
    </row>
    <row r="31" spans="1:10">
      <c r="A31" s="86">
        <v>30</v>
      </c>
      <c r="B31" s="87">
        <v>4.7</v>
      </c>
      <c r="C31" s="51">
        <v>3.2</v>
      </c>
      <c r="D31" s="51">
        <v>1.6</v>
      </c>
      <c r="E31" s="51">
        <v>0.2</v>
      </c>
      <c r="F31" s="70" t="s">
        <v>77</v>
      </c>
      <c r="G31" s="71"/>
      <c r="H31" s="52"/>
      <c r="I31" s="101"/>
      <c r="J31" s="70"/>
    </row>
    <row r="32" spans="1:10">
      <c r="A32" s="86">
        <v>31</v>
      </c>
      <c r="B32" s="87">
        <v>4.8</v>
      </c>
      <c r="C32" s="51">
        <v>3.1</v>
      </c>
      <c r="D32" s="51">
        <v>1.6</v>
      </c>
      <c r="E32" s="51">
        <v>0.2</v>
      </c>
      <c r="F32" s="70" t="s">
        <v>77</v>
      </c>
      <c r="G32" s="71"/>
      <c r="H32" s="52"/>
      <c r="I32" s="101"/>
      <c r="J32" s="70"/>
    </row>
    <row r="33" spans="1:10">
      <c r="A33" s="86">
        <v>32</v>
      </c>
      <c r="B33" s="87">
        <v>5.4</v>
      </c>
      <c r="C33" s="51">
        <v>3.4</v>
      </c>
      <c r="D33" s="51">
        <v>1.5</v>
      </c>
      <c r="E33" s="51">
        <v>0.4</v>
      </c>
      <c r="F33" s="70" t="s">
        <v>77</v>
      </c>
      <c r="G33" s="71"/>
      <c r="H33" s="52"/>
      <c r="I33" s="101"/>
      <c r="J33" s="70"/>
    </row>
    <row r="34" spans="1:10">
      <c r="A34" s="86">
        <v>33</v>
      </c>
      <c r="B34" s="87">
        <v>5.2</v>
      </c>
      <c r="C34" s="51">
        <v>4.0999999999999996</v>
      </c>
      <c r="D34" s="51">
        <v>1.5</v>
      </c>
      <c r="E34" s="51">
        <v>0.1</v>
      </c>
      <c r="F34" s="70" t="s">
        <v>77</v>
      </c>
      <c r="G34" s="71"/>
      <c r="H34" s="52"/>
      <c r="I34" s="101"/>
      <c r="J34" s="70"/>
    </row>
    <row r="35" spans="1:10">
      <c r="A35" s="86">
        <v>34</v>
      </c>
      <c r="B35" s="87">
        <v>5.5</v>
      </c>
      <c r="C35" s="51">
        <v>4.2</v>
      </c>
      <c r="D35" s="51">
        <v>1.4</v>
      </c>
      <c r="E35" s="51">
        <v>0.2</v>
      </c>
      <c r="F35" s="70" t="s">
        <v>77</v>
      </c>
      <c r="G35" s="71"/>
      <c r="H35" s="52"/>
      <c r="I35" s="101"/>
      <c r="J35" s="70"/>
    </row>
    <row r="36" spans="1:10">
      <c r="A36" s="86">
        <v>35</v>
      </c>
      <c r="B36" s="87">
        <v>4.9000000000000004</v>
      </c>
      <c r="C36" s="51">
        <v>3.1</v>
      </c>
      <c r="D36" s="51">
        <v>1.5</v>
      </c>
      <c r="E36" s="51">
        <v>0.1</v>
      </c>
      <c r="F36" s="70" t="s">
        <v>77</v>
      </c>
      <c r="G36" s="71"/>
      <c r="H36" s="52"/>
      <c r="I36" s="101"/>
      <c r="J36" s="70"/>
    </row>
    <row r="37" spans="1:10">
      <c r="A37" s="86">
        <v>36</v>
      </c>
      <c r="B37" s="87">
        <v>5</v>
      </c>
      <c r="C37" s="51">
        <v>3.2</v>
      </c>
      <c r="D37" s="51">
        <v>1.2</v>
      </c>
      <c r="E37" s="51">
        <v>0.2</v>
      </c>
      <c r="F37" s="70" t="s">
        <v>77</v>
      </c>
      <c r="G37" s="71"/>
      <c r="H37" s="52"/>
      <c r="I37" s="101"/>
      <c r="J37" s="70"/>
    </row>
    <row r="38" spans="1:10">
      <c r="A38" s="86">
        <v>37</v>
      </c>
      <c r="B38" s="87">
        <v>5.5</v>
      </c>
      <c r="C38" s="51">
        <v>3.5</v>
      </c>
      <c r="D38" s="51">
        <v>1.3</v>
      </c>
      <c r="E38" s="51">
        <v>0.2</v>
      </c>
      <c r="F38" s="70" t="s">
        <v>77</v>
      </c>
      <c r="G38" s="71"/>
      <c r="H38" s="52"/>
      <c r="I38" s="101"/>
      <c r="J38" s="70"/>
    </row>
    <row r="39" spans="1:10">
      <c r="A39" s="86">
        <v>38</v>
      </c>
      <c r="B39" s="87">
        <v>4.9000000000000004</v>
      </c>
      <c r="C39" s="51">
        <v>3.1</v>
      </c>
      <c r="D39" s="51">
        <v>1.5</v>
      </c>
      <c r="E39" s="51">
        <v>0.1</v>
      </c>
      <c r="F39" s="70" t="s">
        <v>77</v>
      </c>
      <c r="G39" s="71"/>
      <c r="H39" s="52"/>
      <c r="I39" s="101"/>
      <c r="J39" s="70"/>
    </row>
    <row r="40" spans="1:10">
      <c r="A40" s="86">
        <v>39</v>
      </c>
      <c r="B40" s="87">
        <v>4.4000000000000004</v>
      </c>
      <c r="C40" s="51">
        <v>3</v>
      </c>
      <c r="D40" s="51">
        <v>1.3</v>
      </c>
      <c r="E40" s="51">
        <v>0.2</v>
      </c>
      <c r="F40" s="70" t="s">
        <v>77</v>
      </c>
      <c r="G40" s="71"/>
      <c r="H40" s="52"/>
      <c r="I40" s="101"/>
      <c r="J40" s="70"/>
    </row>
    <row r="41" spans="1:10">
      <c r="A41" s="86">
        <v>40</v>
      </c>
      <c r="B41" s="87">
        <v>5.0999999999999996</v>
      </c>
      <c r="C41" s="51">
        <v>3.4</v>
      </c>
      <c r="D41" s="51">
        <v>1.5</v>
      </c>
      <c r="E41" s="51">
        <v>0.2</v>
      </c>
      <c r="F41" s="70" t="s">
        <v>77</v>
      </c>
      <c r="G41" s="71"/>
      <c r="H41" s="52"/>
      <c r="I41" s="101"/>
      <c r="J41" s="70"/>
    </row>
    <row r="42" spans="1:10">
      <c r="A42" s="86">
        <v>41</v>
      </c>
      <c r="B42" s="87">
        <v>5</v>
      </c>
      <c r="C42" s="51">
        <v>3.5</v>
      </c>
      <c r="D42" s="51">
        <v>1.3</v>
      </c>
      <c r="E42" s="51">
        <v>0.3</v>
      </c>
      <c r="F42" s="70" t="s">
        <v>77</v>
      </c>
      <c r="G42" s="71"/>
      <c r="H42" s="52"/>
      <c r="I42" s="101"/>
      <c r="J42" s="70"/>
    </row>
    <row r="43" spans="1:10">
      <c r="A43" s="86">
        <v>42</v>
      </c>
      <c r="B43" s="87">
        <v>4.5</v>
      </c>
      <c r="C43" s="51">
        <v>2.2999999999999998</v>
      </c>
      <c r="D43" s="51">
        <v>1.3</v>
      </c>
      <c r="E43" s="51">
        <v>0.3</v>
      </c>
      <c r="F43" s="70" t="s">
        <v>77</v>
      </c>
      <c r="G43" s="71"/>
      <c r="H43" s="52"/>
      <c r="I43" s="101"/>
      <c r="J43" s="70"/>
    </row>
    <row r="44" spans="1:10">
      <c r="A44" s="86">
        <v>43</v>
      </c>
      <c r="B44" s="87">
        <v>4.4000000000000004</v>
      </c>
      <c r="C44" s="51">
        <v>3.2</v>
      </c>
      <c r="D44" s="51">
        <v>1.3</v>
      </c>
      <c r="E44" s="51">
        <v>0.2</v>
      </c>
      <c r="F44" s="70" t="s">
        <v>77</v>
      </c>
      <c r="G44" s="71"/>
      <c r="H44" s="52"/>
      <c r="I44" s="101"/>
      <c r="J44" s="70"/>
    </row>
    <row r="45" spans="1:10">
      <c r="A45" s="86">
        <v>44</v>
      </c>
      <c r="B45" s="87">
        <v>5</v>
      </c>
      <c r="C45" s="51">
        <v>3.5</v>
      </c>
      <c r="D45" s="51">
        <v>1.6</v>
      </c>
      <c r="E45" s="51">
        <v>0.6</v>
      </c>
      <c r="F45" s="70" t="s">
        <v>77</v>
      </c>
      <c r="G45" s="71"/>
      <c r="H45" s="52"/>
      <c r="I45" s="101"/>
      <c r="J45" s="70"/>
    </row>
    <row r="46" spans="1:10">
      <c r="A46" s="86">
        <v>45</v>
      </c>
      <c r="B46" s="87">
        <v>5.0999999999999996</v>
      </c>
      <c r="C46" s="51">
        <v>3.8</v>
      </c>
      <c r="D46" s="51">
        <v>1.9</v>
      </c>
      <c r="E46" s="51">
        <v>0.4</v>
      </c>
      <c r="F46" s="70" t="s">
        <v>77</v>
      </c>
      <c r="G46" s="71"/>
      <c r="H46" s="52"/>
      <c r="I46" s="101"/>
      <c r="J46" s="70"/>
    </row>
    <row r="47" spans="1:10">
      <c r="A47" s="86">
        <v>46</v>
      </c>
      <c r="B47" s="87">
        <v>4.8</v>
      </c>
      <c r="C47" s="51">
        <v>3</v>
      </c>
      <c r="D47" s="51">
        <v>1.4</v>
      </c>
      <c r="E47" s="51">
        <v>0.3</v>
      </c>
      <c r="F47" s="70" t="s">
        <v>77</v>
      </c>
      <c r="G47" s="71"/>
      <c r="H47" s="52"/>
      <c r="I47" s="101"/>
      <c r="J47" s="70"/>
    </row>
    <row r="48" spans="1:10">
      <c r="A48" s="86">
        <v>47</v>
      </c>
      <c r="B48" s="87">
        <v>5.0999999999999996</v>
      </c>
      <c r="C48" s="51">
        <v>3.8</v>
      </c>
      <c r="D48" s="51">
        <v>1.6</v>
      </c>
      <c r="E48" s="51">
        <v>0.2</v>
      </c>
      <c r="F48" s="70" t="s">
        <v>77</v>
      </c>
      <c r="G48" s="71"/>
      <c r="H48" s="52"/>
      <c r="I48" s="101"/>
      <c r="J48" s="70"/>
    </row>
    <row r="49" spans="1:10">
      <c r="A49" s="86">
        <v>48</v>
      </c>
      <c r="B49" s="87">
        <v>4.5999999999999996</v>
      </c>
      <c r="C49" s="51">
        <v>3.2</v>
      </c>
      <c r="D49" s="51">
        <v>1.4</v>
      </c>
      <c r="E49" s="51">
        <v>0.2</v>
      </c>
      <c r="F49" s="70" t="s">
        <v>77</v>
      </c>
      <c r="G49" s="71"/>
      <c r="H49" s="52"/>
      <c r="I49" s="101"/>
      <c r="J49" s="70"/>
    </row>
    <row r="50" spans="1:10">
      <c r="A50" s="86">
        <v>49</v>
      </c>
      <c r="B50" s="87">
        <v>5.3</v>
      </c>
      <c r="C50" s="51">
        <v>3.7</v>
      </c>
      <c r="D50" s="51">
        <v>1.5</v>
      </c>
      <c r="E50" s="51">
        <v>0.2</v>
      </c>
      <c r="F50" s="70" t="s">
        <v>77</v>
      </c>
      <c r="G50" s="71"/>
      <c r="H50" s="52"/>
      <c r="I50" s="101"/>
      <c r="J50" s="70"/>
    </row>
    <row r="51" spans="1:10">
      <c r="A51" s="86">
        <v>50</v>
      </c>
      <c r="B51" s="87">
        <v>5</v>
      </c>
      <c r="C51" s="51">
        <v>3.3</v>
      </c>
      <c r="D51" s="51">
        <v>1.4</v>
      </c>
      <c r="E51" s="51">
        <v>0.2</v>
      </c>
      <c r="F51" s="70" t="s">
        <v>77</v>
      </c>
      <c r="G51" s="71"/>
      <c r="H51" s="52"/>
      <c r="I51" s="101"/>
      <c r="J51" s="70"/>
    </row>
    <row r="52" spans="1:10">
      <c r="A52" s="86">
        <v>51</v>
      </c>
      <c r="B52" s="87">
        <v>7</v>
      </c>
      <c r="C52" s="51">
        <v>3.2</v>
      </c>
      <c r="D52" s="51">
        <v>4.7</v>
      </c>
      <c r="E52" s="51">
        <v>1.4</v>
      </c>
      <c r="F52" s="70" t="s">
        <v>80</v>
      </c>
      <c r="G52" s="71"/>
      <c r="H52" s="52"/>
      <c r="I52" s="101"/>
      <c r="J52" s="70"/>
    </row>
    <row r="53" spans="1:10">
      <c r="A53" s="86">
        <v>52</v>
      </c>
      <c r="B53" s="87">
        <v>6.4</v>
      </c>
      <c r="C53" s="51">
        <v>3.2</v>
      </c>
      <c r="D53" s="51">
        <v>4.5</v>
      </c>
      <c r="E53" s="51">
        <v>1.5</v>
      </c>
      <c r="F53" s="70" t="s">
        <v>80</v>
      </c>
      <c r="G53" s="71"/>
      <c r="H53" s="52"/>
      <c r="I53" s="101"/>
      <c r="J53" s="70"/>
    </row>
    <row r="54" spans="1:10">
      <c r="A54" s="86">
        <v>53</v>
      </c>
      <c r="B54" s="87">
        <v>6.9</v>
      </c>
      <c r="C54" s="51">
        <v>3.1</v>
      </c>
      <c r="D54" s="51">
        <v>4.9000000000000004</v>
      </c>
      <c r="E54" s="51">
        <v>1.5</v>
      </c>
      <c r="F54" s="70" t="s">
        <v>80</v>
      </c>
      <c r="G54" s="71"/>
      <c r="H54" s="52"/>
      <c r="I54" s="101"/>
      <c r="J54" s="70"/>
    </row>
    <row r="55" spans="1:10">
      <c r="A55" s="86">
        <v>54</v>
      </c>
      <c r="B55" s="87">
        <v>5.5</v>
      </c>
      <c r="C55" s="51">
        <v>2.2999999999999998</v>
      </c>
      <c r="D55" s="51">
        <v>4</v>
      </c>
      <c r="E55" s="51">
        <v>1.3</v>
      </c>
      <c r="F55" s="70" t="s">
        <v>80</v>
      </c>
      <c r="G55" s="71"/>
      <c r="H55" s="52"/>
      <c r="I55" s="101"/>
      <c r="J55" s="70"/>
    </row>
    <row r="56" spans="1:10">
      <c r="A56" s="86">
        <v>55</v>
      </c>
      <c r="B56" s="87">
        <v>6.5</v>
      </c>
      <c r="C56" s="51">
        <v>2.8</v>
      </c>
      <c r="D56" s="51">
        <v>4.5999999999999996</v>
      </c>
      <c r="E56" s="51">
        <v>1.5</v>
      </c>
      <c r="F56" s="70" t="s">
        <v>80</v>
      </c>
      <c r="G56" s="71"/>
      <c r="H56" s="52"/>
      <c r="I56" s="101"/>
      <c r="J56" s="70"/>
    </row>
    <row r="57" spans="1:10">
      <c r="A57" s="86">
        <v>56</v>
      </c>
      <c r="B57" s="87">
        <v>5.7</v>
      </c>
      <c r="C57" s="51">
        <v>2.8</v>
      </c>
      <c r="D57" s="51">
        <v>4.5</v>
      </c>
      <c r="E57" s="51">
        <v>1.3</v>
      </c>
      <c r="F57" s="70" t="s">
        <v>80</v>
      </c>
      <c r="G57" s="71"/>
      <c r="H57" s="52"/>
      <c r="I57" s="101"/>
      <c r="J57" s="70"/>
    </row>
    <row r="58" spans="1:10">
      <c r="A58" s="86">
        <v>57</v>
      </c>
      <c r="B58" s="87">
        <v>6.3</v>
      </c>
      <c r="C58" s="51">
        <v>3.3</v>
      </c>
      <c r="D58" s="51">
        <v>4.7</v>
      </c>
      <c r="E58" s="51">
        <v>1.6</v>
      </c>
      <c r="F58" s="70" t="s">
        <v>80</v>
      </c>
      <c r="G58" s="71"/>
      <c r="H58" s="52"/>
      <c r="I58" s="101"/>
      <c r="J58" s="70"/>
    </row>
    <row r="59" spans="1:10">
      <c r="A59" s="86">
        <v>58</v>
      </c>
      <c r="B59" s="87">
        <v>4.9000000000000004</v>
      </c>
      <c r="C59" s="51">
        <v>2.4</v>
      </c>
      <c r="D59" s="51">
        <v>3.3</v>
      </c>
      <c r="E59" s="51">
        <v>1</v>
      </c>
      <c r="F59" s="70" t="s">
        <v>80</v>
      </c>
      <c r="G59" s="71"/>
      <c r="H59" s="52"/>
      <c r="I59" s="101"/>
      <c r="J59" s="70"/>
    </row>
    <row r="60" spans="1:10">
      <c r="A60" s="86">
        <v>59</v>
      </c>
      <c r="B60" s="87">
        <v>6.6</v>
      </c>
      <c r="C60" s="51">
        <v>2.9</v>
      </c>
      <c r="D60" s="51">
        <v>4.5999999999999996</v>
      </c>
      <c r="E60" s="51">
        <v>1.3</v>
      </c>
      <c r="F60" s="70" t="s">
        <v>80</v>
      </c>
      <c r="G60" s="71"/>
      <c r="H60" s="52"/>
      <c r="I60" s="101"/>
      <c r="J60" s="70"/>
    </row>
    <row r="61" spans="1:10">
      <c r="A61" s="86">
        <v>60</v>
      </c>
      <c r="B61" s="87">
        <v>5.2</v>
      </c>
      <c r="C61" s="51">
        <v>2.7</v>
      </c>
      <c r="D61" s="51">
        <v>3.9</v>
      </c>
      <c r="E61" s="51">
        <v>1.4</v>
      </c>
      <c r="F61" s="70" t="s">
        <v>80</v>
      </c>
      <c r="G61" s="71"/>
      <c r="H61" s="52"/>
      <c r="I61" s="101"/>
      <c r="J61" s="70"/>
    </row>
    <row r="62" spans="1:10">
      <c r="A62" s="86">
        <v>61</v>
      </c>
      <c r="B62" s="87">
        <v>5</v>
      </c>
      <c r="C62" s="51">
        <v>2</v>
      </c>
      <c r="D62" s="51">
        <v>3.5</v>
      </c>
      <c r="E62" s="51">
        <v>1</v>
      </c>
      <c r="F62" s="70" t="s">
        <v>80</v>
      </c>
      <c r="G62" s="71"/>
      <c r="H62" s="52"/>
      <c r="I62" s="101"/>
      <c r="J62" s="70"/>
    </row>
    <row r="63" spans="1:10">
      <c r="A63" s="86">
        <v>62</v>
      </c>
      <c r="B63" s="87">
        <v>5.9</v>
      </c>
      <c r="C63" s="51">
        <v>3</v>
      </c>
      <c r="D63" s="51">
        <v>4.2</v>
      </c>
      <c r="E63" s="51">
        <v>1.5</v>
      </c>
      <c r="F63" s="70" t="s">
        <v>80</v>
      </c>
      <c r="G63" s="71"/>
      <c r="H63" s="52"/>
      <c r="I63" s="101"/>
      <c r="J63" s="70"/>
    </row>
    <row r="64" spans="1:10">
      <c r="A64" s="86">
        <v>63</v>
      </c>
      <c r="B64" s="87">
        <v>6</v>
      </c>
      <c r="C64" s="51">
        <v>2.2000000000000002</v>
      </c>
      <c r="D64" s="51">
        <v>4</v>
      </c>
      <c r="E64" s="51">
        <v>1</v>
      </c>
      <c r="F64" s="70" t="s">
        <v>80</v>
      </c>
      <c r="G64" s="71"/>
      <c r="H64" s="52"/>
      <c r="I64" s="101"/>
      <c r="J64" s="70"/>
    </row>
    <row r="65" spans="1:10">
      <c r="A65" s="86">
        <v>64</v>
      </c>
      <c r="B65" s="87">
        <v>6.1</v>
      </c>
      <c r="C65" s="51">
        <v>2.9</v>
      </c>
      <c r="D65" s="51">
        <v>4.7</v>
      </c>
      <c r="E65" s="51">
        <v>1.4</v>
      </c>
      <c r="F65" s="70" t="s">
        <v>80</v>
      </c>
      <c r="G65" s="71"/>
      <c r="H65" s="52"/>
      <c r="I65" s="101"/>
      <c r="J65" s="70"/>
    </row>
    <row r="66" spans="1:10">
      <c r="A66" s="86">
        <v>65</v>
      </c>
      <c r="B66" s="87">
        <v>5.6</v>
      </c>
      <c r="C66" s="51">
        <v>2.9</v>
      </c>
      <c r="D66" s="51">
        <v>3.6</v>
      </c>
      <c r="E66" s="51">
        <v>1.3</v>
      </c>
      <c r="F66" s="70" t="s">
        <v>80</v>
      </c>
      <c r="G66" s="71"/>
      <c r="H66" s="52"/>
      <c r="I66" s="101"/>
      <c r="J66" s="70"/>
    </row>
    <row r="67" spans="1:10">
      <c r="A67" s="86">
        <v>66</v>
      </c>
      <c r="B67" s="87">
        <v>6.7</v>
      </c>
      <c r="C67" s="51">
        <v>3.1</v>
      </c>
      <c r="D67" s="51">
        <v>4.4000000000000004</v>
      </c>
      <c r="E67" s="51">
        <v>1.4</v>
      </c>
      <c r="F67" s="70" t="s">
        <v>80</v>
      </c>
      <c r="G67" s="71"/>
      <c r="H67" s="52"/>
      <c r="I67" s="101"/>
      <c r="J67" s="70"/>
    </row>
    <row r="68" spans="1:10">
      <c r="A68" s="86">
        <v>67</v>
      </c>
      <c r="B68" s="87">
        <v>5.6</v>
      </c>
      <c r="C68" s="51">
        <v>3</v>
      </c>
      <c r="D68" s="51">
        <v>4.5</v>
      </c>
      <c r="E68" s="51">
        <v>1.5</v>
      </c>
      <c r="F68" s="70" t="s">
        <v>80</v>
      </c>
      <c r="G68" s="71"/>
      <c r="H68" s="52"/>
      <c r="I68" s="101"/>
      <c r="J68" s="70"/>
    </row>
    <row r="69" spans="1:10">
      <c r="A69" s="86">
        <v>68</v>
      </c>
      <c r="B69" s="87">
        <v>5.8</v>
      </c>
      <c r="C69" s="51">
        <v>2.7</v>
      </c>
      <c r="D69" s="51">
        <v>4.0999999999999996</v>
      </c>
      <c r="E69" s="51">
        <v>1</v>
      </c>
      <c r="F69" s="70" t="s">
        <v>80</v>
      </c>
      <c r="G69" s="71"/>
      <c r="H69" s="52"/>
      <c r="I69" s="101"/>
      <c r="J69" s="70"/>
    </row>
    <row r="70" spans="1:10">
      <c r="A70" s="86">
        <v>69</v>
      </c>
      <c r="B70" s="87">
        <v>6.2</v>
      </c>
      <c r="C70" s="51">
        <v>2.2000000000000002</v>
      </c>
      <c r="D70" s="51">
        <v>4.5</v>
      </c>
      <c r="E70" s="51">
        <v>1.5</v>
      </c>
      <c r="F70" s="70" t="s">
        <v>80</v>
      </c>
      <c r="G70" s="71"/>
      <c r="H70" s="52"/>
      <c r="I70" s="101"/>
      <c r="J70" s="70"/>
    </row>
    <row r="71" spans="1:10">
      <c r="A71" s="86">
        <v>70</v>
      </c>
      <c r="B71" s="87">
        <v>5.6</v>
      </c>
      <c r="C71" s="51">
        <v>2.5</v>
      </c>
      <c r="D71" s="51">
        <v>3.9</v>
      </c>
      <c r="E71" s="51">
        <v>1.1000000000000001</v>
      </c>
      <c r="F71" s="70" t="s">
        <v>80</v>
      </c>
      <c r="G71" s="71"/>
      <c r="H71" s="52"/>
      <c r="I71" s="101"/>
      <c r="J71" s="70"/>
    </row>
    <row r="72" spans="1:10">
      <c r="A72" s="86">
        <v>71</v>
      </c>
      <c r="B72" s="87">
        <v>5.9</v>
      </c>
      <c r="C72" s="51">
        <v>3.2</v>
      </c>
      <c r="D72" s="51">
        <v>4.8</v>
      </c>
      <c r="E72" s="51">
        <v>1.8</v>
      </c>
      <c r="F72" s="70" t="s">
        <v>80</v>
      </c>
      <c r="G72" s="71"/>
      <c r="H72" s="52"/>
      <c r="I72" s="101"/>
      <c r="J72" s="70"/>
    </row>
    <row r="73" spans="1:10">
      <c r="A73" s="86">
        <v>72</v>
      </c>
      <c r="B73" s="87">
        <v>6.1</v>
      </c>
      <c r="C73" s="51">
        <v>2.8</v>
      </c>
      <c r="D73" s="51">
        <v>4</v>
      </c>
      <c r="E73" s="51">
        <v>1.3</v>
      </c>
      <c r="F73" s="70" t="s">
        <v>80</v>
      </c>
      <c r="G73" s="71"/>
      <c r="H73" s="52"/>
      <c r="I73" s="101"/>
      <c r="J73" s="70"/>
    </row>
    <row r="74" spans="1:10">
      <c r="A74" s="86">
        <v>73</v>
      </c>
      <c r="B74" s="87">
        <v>6.3</v>
      </c>
      <c r="C74" s="51">
        <v>2.5</v>
      </c>
      <c r="D74" s="51">
        <v>4.9000000000000004</v>
      </c>
      <c r="E74" s="51">
        <v>1.5</v>
      </c>
      <c r="F74" s="70" t="s">
        <v>80</v>
      </c>
      <c r="G74" s="71"/>
      <c r="H74" s="52"/>
      <c r="I74" s="101"/>
      <c r="J74" s="70"/>
    </row>
    <row r="75" spans="1:10">
      <c r="A75" s="86">
        <v>74</v>
      </c>
      <c r="B75" s="87">
        <v>6.1</v>
      </c>
      <c r="C75" s="51">
        <v>2.8</v>
      </c>
      <c r="D75" s="51">
        <v>4.7</v>
      </c>
      <c r="E75" s="51">
        <v>1.2</v>
      </c>
      <c r="F75" s="70" t="s">
        <v>80</v>
      </c>
      <c r="G75" s="71"/>
      <c r="H75" s="52"/>
      <c r="I75" s="101"/>
      <c r="J75" s="70"/>
    </row>
    <row r="76" spans="1:10">
      <c r="A76" s="86">
        <v>75</v>
      </c>
      <c r="B76" s="87">
        <v>6.4</v>
      </c>
      <c r="C76" s="51">
        <v>2.9</v>
      </c>
      <c r="D76" s="51">
        <v>4.3</v>
      </c>
      <c r="E76" s="51">
        <v>1.3</v>
      </c>
      <c r="F76" s="70" t="s">
        <v>80</v>
      </c>
      <c r="G76" s="71"/>
      <c r="H76" s="52"/>
      <c r="I76" s="101"/>
      <c r="J76" s="70"/>
    </row>
    <row r="77" spans="1:10">
      <c r="A77" s="86">
        <v>76</v>
      </c>
      <c r="B77" s="87">
        <v>6.6</v>
      </c>
      <c r="C77" s="51">
        <v>3</v>
      </c>
      <c r="D77" s="51">
        <v>4.4000000000000004</v>
      </c>
      <c r="E77" s="51">
        <v>1.4</v>
      </c>
      <c r="F77" s="70" t="s">
        <v>80</v>
      </c>
      <c r="G77" s="71"/>
      <c r="H77" s="52"/>
      <c r="I77" s="101"/>
      <c r="J77" s="70"/>
    </row>
    <row r="78" spans="1:10">
      <c r="A78" s="86">
        <v>77</v>
      </c>
      <c r="B78" s="87">
        <v>6.8</v>
      </c>
      <c r="C78" s="51">
        <v>2.8</v>
      </c>
      <c r="D78" s="51">
        <v>4.8</v>
      </c>
      <c r="E78" s="51">
        <v>1.4</v>
      </c>
      <c r="F78" s="70" t="s">
        <v>80</v>
      </c>
      <c r="G78" s="71"/>
      <c r="H78" s="52"/>
      <c r="I78" s="101"/>
      <c r="J78" s="70"/>
    </row>
    <row r="79" spans="1:10">
      <c r="A79" s="86">
        <v>78</v>
      </c>
      <c r="B79" s="87">
        <v>6.7</v>
      </c>
      <c r="C79" s="51">
        <v>3</v>
      </c>
      <c r="D79" s="51">
        <v>5</v>
      </c>
      <c r="E79" s="51">
        <v>1.7</v>
      </c>
      <c r="F79" s="70" t="s">
        <v>80</v>
      </c>
      <c r="G79" s="71"/>
      <c r="H79" s="52"/>
      <c r="I79" s="101"/>
      <c r="J79" s="70"/>
    </row>
    <row r="80" spans="1:10">
      <c r="A80" s="86">
        <v>79</v>
      </c>
      <c r="B80" s="87">
        <v>6</v>
      </c>
      <c r="C80" s="51">
        <v>2.9</v>
      </c>
      <c r="D80" s="51">
        <v>4.5</v>
      </c>
      <c r="E80" s="51">
        <v>1.5</v>
      </c>
      <c r="F80" s="70" t="s">
        <v>80</v>
      </c>
      <c r="G80" s="71"/>
      <c r="H80" s="52"/>
      <c r="I80" s="101"/>
      <c r="J80" s="70"/>
    </row>
    <row r="81" spans="1:10">
      <c r="A81" s="86">
        <v>80</v>
      </c>
      <c r="B81" s="87">
        <v>5.7</v>
      </c>
      <c r="C81" s="51">
        <v>2.6</v>
      </c>
      <c r="D81" s="51">
        <v>3.5</v>
      </c>
      <c r="E81" s="51">
        <v>1</v>
      </c>
      <c r="F81" s="70" t="s">
        <v>80</v>
      </c>
      <c r="G81" s="71"/>
      <c r="H81" s="52"/>
      <c r="I81" s="101"/>
      <c r="J81" s="70"/>
    </row>
    <row r="82" spans="1:10">
      <c r="A82" s="86">
        <v>81</v>
      </c>
      <c r="B82" s="87">
        <v>5.5</v>
      </c>
      <c r="C82" s="51">
        <v>2.4</v>
      </c>
      <c r="D82" s="51">
        <v>3.8</v>
      </c>
      <c r="E82" s="51">
        <v>1.1000000000000001</v>
      </c>
      <c r="F82" s="70" t="s">
        <v>80</v>
      </c>
      <c r="G82" s="71"/>
      <c r="H82" s="52"/>
      <c r="I82" s="101"/>
      <c r="J82" s="70"/>
    </row>
    <row r="83" spans="1:10">
      <c r="A83" s="86">
        <v>82</v>
      </c>
      <c r="B83" s="87">
        <v>5.5</v>
      </c>
      <c r="C83" s="51">
        <v>2.4</v>
      </c>
      <c r="D83" s="51">
        <v>3.7</v>
      </c>
      <c r="E83" s="51">
        <v>1</v>
      </c>
      <c r="F83" s="70" t="s">
        <v>80</v>
      </c>
      <c r="G83" s="71"/>
      <c r="H83" s="52"/>
      <c r="I83" s="101"/>
      <c r="J83" s="70"/>
    </row>
    <row r="84" spans="1:10">
      <c r="A84" s="86">
        <v>83</v>
      </c>
      <c r="B84" s="87">
        <v>5.8</v>
      </c>
      <c r="C84" s="51">
        <v>2.7</v>
      </c>
      <c r="D84" s="51">
        <v>3.9</v>
      </c>
      <c r="E84" s="51">
        <v>1.2</v>
      </c>
      <c r="F84" s="70" t="s">
        <v>80</v>
      </c>
      <c r="G84" s="71"/>
      <c r="H84" s="52"/>
      <c r="I84" s="101"/>
      <c r="J84" s="70"/>
    </row>
    <row r="85" spans="1:10">
      <c r="A85" s="86">
        <v>84</v>
      </c>
      <c r="B85" s="87">
        <v>6</v>
      </c>
      <c r="C85" s="51">
        <v>2.7</v>
      </c>
      <c r="D85" s="51">
        <v>5.0999999999999996</v>
      </c>
      <c r="E85" s="51">
        <v>1.6</v>
      </c>
      <c r="F85" s="70" t="s">
        <v>80</v>
      </c>
      <c r="G85" s="71"/>
      <c r="H85" s="52"/>
      <c r="I85" s="101"/>
      <c r="J85" s="70"/>
    </row>
    <row r="86" spans="1:10">
      <c r="A86" s="86">
        <v>85</v>
      </c>
      <c r="B86" s="87">
        <v>5.4</v>
      </c>
      <c r="C86" s="51">
        <v>3</v>
      </c>
      <c r="D86" s="51">
        <v>4.5</v>
      </c>
      <c r="E86" s="51">
        <v>1.5</v>
      </c>
      <c r="F86" s="70" t="s">
        <v>80</v>
      </c>
      <c r="G86" s="71"/>
      <c r="H86" s="52"/>
      <c r="I86" s="101"/>
      <c r="J86" s="70"/>
    </row>
    <row r="87" spans="1:10">
      <c r="A87" s="86">
        <v>86</v>
      </c>
      <c r="B87" s="87">
        <v>6</v>
      </c>
      <c r="C87" s="51">
        <v>3.4</v>
      </c>
      <c r="D87" s="51">
        <v>4.5</v>
      </c>
      <c r="E87" s="51">
        <v>1.6</v>
      </c>
      <c r="F87" s="70" t="s">
        <v>80</v>
      </c>
      <c r="G87" s="71"/>
      <c r="H87" s="52"/>
      <c r="I87" s="101"/>
      <c r="J87" s="70"/>
    </row>
    <row r="88" spans="1:10">
      <c r="A88" s="86">
        <v>87</v>
      </c>
      <c r="B88" s="87">
        <v>6.7</v>
      </c>
      <c r="C88" s="51">
        <v>3.1</v>
      </c>
      <c r="D88" s="51">
        <v>4.7</v>
      </c>
      <c r="E88" s="51">
        <v>1.5</v>
      </c>
      <c r="F88" s="70" t="s">
        <v>80</v>
      </c>
      <c r="G88" s="71"/>
      <c r="H88" s="52"/>
      <c r="I88" s="101"/>
      <c r="J88" s="70"/>
    </row>
    <row r="89" spans="1:10">
      <c r="A89" s="86">
        <v>88</v>
      </c>
      <c r="B89" s="87">
        <v>6.3</v>
      </c>
      <c r="C89" s="51">
        <v>2.2999999999999998</v>
      </c>
      <c r="D89" s="51">
        <v>4.4000000000000004</v>
      </c>
      <c r="E89" s="51">
        <v>1.3</v>
      </c>
      <c r="F89" s="70" t="s">
        <v>80</v>
      </c>
      <c r="G89" s="71"/>
      <c r="H89" s="52"/>
      <c r="I89" s="101"/>
      <c r="J89" s="70"/>
    </row>
    <row r="90" spans="1:10">
      <c r="A90" s="86">
        <v>89</v>
      </c>
      <c r="B90" s="87">
        <v>5.6</v>
      </c>
      <c r="C90" s="51">
        <v>3</v>
      </c>
      <c r="D90" s="51">
        <v>4.0999999999999996</v>
      </c>
      <c r="E90" s="51">
        <v>1.3</v>
      </c>
      <c r="F90" s="70" t="s">
        <v>80</v>
      </c>
      <c r="G90" s="71"/>
      <c r="H90" s="52"/>
      <c r="I90" s="101"/>
      <c r="J90" s="70"/>
    </row>
    <row r="91" spans="1:10">
      <c r="A91" s="86">
        <v>90</v>
      </c>
      <c r="B91" s="87">
        <v>5.5</v>
      </c>
      <c r="C91" s="51">
        <v>2.5</v>
      </c>
      <c r="D91" s="51">
        <v>4</v>
      </c>
      <c r="E91" s="51">
        <v>1.3</v>
      </c>
      <c r="F91" s="70" t="s">
        <v>80</v>
      </c>
      <c r="G91" s="71"/>
      <c r="H91" s="52"/>
      <c r="I91" s="101"/>
      <c r="J91" s="70"/>
    </row>
    <row r="92" spans="1:10">
      <c r="A92" s="86">
        <v>91</v>
      </c>
      <c r="B92" s="87">
        <v>5.5</v>
      </c>
      <c r="C92" s="51">
        <v>2.6</v>
      </c>
      <c r="D92" s="51">
        <v>4.4000000000000004</v>
      </c>
      <c r="E92" s="51">
        <v>1.2</v>
      </c>
      <c r="F92" s="70" t="s">
        <v>80</v>
      </c>
      <c r="G92" s="71"/>
      <c r="H92" s="52"/>
      <c r="I92" s="101"/>
      <c r="J92" s="70"/>
    </row>
    <row r="93" spans="1:10">
      <c r="A93" s="86">
        <v>92</v>
      </c>
      <c r="B93" s="87">
        <v>6.1</v>
      </c>
      <c r="C93" s="51">
        <v>3</v>
      </c>
      <c r="D93" s="51">
        <v>4.5999999999999996</v>
      </c>
      <c r="E93" s="51">
        <v>1.4</v>
      </c>
      <c r="F93" s="70" t="s">
        <v>80</v>
      </c>
      <c r="G93" s="71"/>
      <c r="H93" s="52"/>
      <c r="I93" s="101"/>
      <c r="J93" s="70"/>
    </row>
    <row r="94" spans="1:10">
      <c r="A94" s="86">
        <v>93</v>
      </c>
      <c r="B94" s="87">
        <v>5.8</v>
      </c>
      <c r="C94" s="51">
        <v>2.6</v>
      </c>
      <c r="D94" s="51">
        <v>4</v>
      </c>
      <c r="E94" s="51">
        <v>1.2</v>
      </c>
      <c r="F94" s="70" t="s">
        <v>80</v>
      </c>
      <c r="G94" s="71"/>
      <c r="H94" s="52"/>
      <c r="I94" s="101"/>
      <c r="J94" s="70"/>
    </row>
    <row r="95" spans="1:10">
      <c r="A95" s="86">
        <v>94</v>
      </c>
      <c r="B95" s="87">
        <v>5</v>
      </c>
      <c r="C95" s="51">
        <v>2.2999999999999998</v>
      </c>
      <c r="D95" s="51">
        <v>3.3</v>
      </c>
      <c r="E95" s="51">
        <v>1</v>
      </c>
      <c r="F95" s="70" t="s">
        <v>80</v>
      </c>
      <c r="G95" s="71"/>
      <c r="H95" s="52"/>
      <c r="I95" s="101"/>
      <c r="J95" s="70"/>
    </row>
    <row r="96" spans="1:10">
      <c r="A96" s="86">
        <v>95</v>
      </c>
      <c r="B96" s="87">
        <v>5.6</v>
      </c>
      <c r="C96" s="51">
        <v>2.7</v>
      </c>
      <c r="D96" s="51">
        <v>4.2</v>
      </c>
      <c r="E96" s="51">
        <v>1.3</v>
      </c>
      <c r="F96" s="70" t="s">
        <v>80</v>
      </c>
      <c r="G96" s="71"/>
      <c r="H96" s="52"/>
      <c r="I96" s="101"/>
      <c r="J96" s="70"/>
    </row>
    <row r="97" spans="1:10">
      <c r="A97" s="86">
        <v>96</v>
      </c>
      <c r="B97" s="87">
        <v>5.7</v>
      </c>
      <c r="C97" s="51">
        <v>3</v>
      </c>
      <c r="D97" s="51">
        <v>4.2</v>
      </c>
      <c r="E97" s="51">
        <v>1.2</v>
      </c>
      <c r="F97" s="70" t="s">
        <v>80</v>
      </c>
      <c r="G97" s="71"/>
      <c r="H97" s="52"/>
      <c r="I97" s="101"/>
      <c r="J97" s="70"/>
    </row>
    <row r="98" spans="1:10">
      <c r="A98" s="86">
        <v>97</v>
      </c>
      <c r="B98" s="87">
        <v>5.7</v>
      </c>
      <c r="C98" s="51">
        <v>2.9</v>
      </c>
      <c r="D98" s="51">
        <v>4.2</v>
      </c>
      <c r="E98" s="51">
        <v>1.3</v>
      </c>
      <c r="F98" s="70" t="s">
        <v>80</v>
      </c>
      <c r="G98" s="71"/>
      <c r="H98" s="52"/>
      <c r="I98" s="101"/>
      <c r="J98" s="70"/>
    </row>
    <row r="99" spans="1:10">
      <c r="A99" s="86">
        <v>98</v>
      </c>
      <c r="B99" s="87">
        <v>6.2</v>
      </c>
      <c r="C99" s="51">
        <v>2.9</v>
      </c>
      <c r="D99" s="51">
        <v>4.3</v>
      </c>
      <c r="E99" s="51">
        <v>1.3</v>
      </c>
      <c r="F99" s="70" t="s">
        <v>80</v>
      </c>
      <c r="G99" s="71"/>
      <c r="H99" s="52"/>
      <c r="I99" s="101"/>
      <c r="J99" s="70"/>
    </row>
    <row r="100" spans="1:10">
      <c r="A100" s="86">
        <v>99</v>
      </c>
      <c r="B100" s="87">
        <v>5.0999999999999996</v>
      </c>
      <c r="C100" s="51">
        <v>2.5</v>
      </c>
      <c r="D100" s="51">
        <v>3</v>
      </c>
      <c r="E100" s="51">
        <v>1.1000000000000001</v>
      </c>
      <c r="F100" s="70" t="s">
        <v>80</v>
      </c>
      <c r="G100" s="71"/>
      <c r="H100" s="52"/>
      <c r="I100" s="101"/>
      <c r="J100" s="70"/>
    </row>
    <row r="101" spans="1:10">
      <c r="A101" s="86">
        <v>100</v>
      </c>
      <c r="B101" s="87">
        <v>5.7</v>
      </c>
      <c r="C101" s="51">
        <v>2.8</v>
      </c>
      <c r="D101" s="51">
        <v>4.0999999999999996</v>
      </c>
      <c r="E101" s="51">
        <v>1.3</v>
      </c>
      <c r="F101" s="70" t="s">
        <v>80</v>
      </c>
      <c r="G101" s="71"/>
      <c r="H101" s="52"/>
      <c r="I101" s="101"/>
      <c r="J101" s="70"/>
    </row>
    <row r="102" spans="1:10">
      <c r="A102" s="86">
        <v>101</v>
      </c>
      <c r="B102" s="87">
        <v>6.3</v>
      </c>
      <c r="C102" s="51">
        <v>3.3</v>
      </c>
      <c r="D102" s="51">
        <v>6</v>
      </c>
      <c r="E102" s="51">
        <v>2.5</v>
      </c>
      <c r="F102" s="70" t="s">
        <v>81</v>
      </c>
      <c r="G102" s="71"/>
      <c r="H102" s="52"/>
      <c r="I102" s="101"/>
      <c r="J102" s="70"/>
    </row>
    <row r="103" spans="1:10">
      <c r="A103" s="86">
        <v>102</v>
      </c>
      <c r="B103" s="87">
        <v>5.8</v>
      </c>
      <c r="C103" s="51">
        <v>2.7</v>
      </c>
      <c r="D103" s="51">
        <v>5.0999999999999996</v>
      </c>
      <c r="E103" s="51">
        <v>1.9</v>
      </c>
      <c r="F103" s="70" t="s">
        <v>81</v>
      </c>
      <c r="G103" s="71"/>
      <c r="H103" s="52"/>
      <c r="I103" s="101"/>
      <c r="J103" s="70"/>
    </row>
    <row r="104" spans="1:10">
      <c r="A104" s="86">
        <v>103</v>
      </c>
      <c r="B104" s="87">
        <v>7.1</v>
      </c>
      <c r="C104" s="51">
        <v>3</v>
      </c>
      <c r="D104" s="51">
        <v>5.9</v>
      </c>
      <c r="E104" s="51">
        <v>2.1</v>
      </c>
      <c r="F104" s="70" t="s">
        <v>81</v>
      </c>
      <c r="G104" s="71"/>
      <c r="H104" s="52"/>
      <c r="I104" s="101"/>
      <c r="J104" s="70"/>
    </row>
    <row r="105" spans="1:10">
      <c r="A105" s="86">
        <v>104</v>
      </c>
      <c r="B105" s="87">
        <v>6.3</v>
      </c>
      <c r="C105" s="51">
        <v>2.9</v>
      </c>
      <c r="D105" s="51">
        <v>5.6</v>
      </c>
      <c r="E105" s="51">
        <v>1.8</v>
      </c>
      <c r="F105" s="70" t="s">
        <v>81</v>
      </c>
      <c r="G105" s="71"/>
      <c r="H105" s="52"/>
      <c r="I105" s="101"/>
      <c r="J105" s="70"/>
    </row>
    <row r="106" spans="1:10">
      <c r="A106" s="86">
        <v>105</v>
      </c>
      <c r="B106" s="87">
        <v>6.5</v>
      </c>
      <c r="C106" s="51">
        <v>3</v>
      </c>
      <c r="D106" s="51">
        <v>5.8</v>
      </c>
      <c r="E106" s="51">
        <v>2.2000000000000002</v>
      </c>
      <c r="F106" s="70" t="s">
        <v>81</v>
      </c>
      <c r="G106" s="71"/>
      <c r="H106" s="52"/>
      <c r="I106" s="101"/>
      <c r="J106" s="70"/>
    </row>
    <row r="107" spans="1:10">
      <c r="A107" s="86">
        <v>106</v>
      </c>
      <c r="B107" s="87">
        <v>7.6</v>
      </c>
      <c r="C107" s="51">
        <v>3</v>
      </c>
      <c r="D107" s="51">
        <v>6.6</v>
      </c>
      <c r="E107" s="51">
        <v>2.1</v>
      </c>
      <c r="F107" s="70" t="s">
        <v>81</v>
      </c>
      <c r="G107" s="71"/>
      <c r="H107" s="52"/>
      <c r="I107" s="101"/>
      <c r="J107" s="70"/>
    </row>
    <row r="108" spans="1:10">
      <c r="A108" s="86">
        <v>107</v>
      </c>
      <c r="B108" s="87">
        <v>4.9000000000000004</v>
      </c>
      <c r="C108" s="51">
        <v>2.5</v>
      </c>
      <c r="D108" s="51">
        <v>4.5</v>
      </c>
      <c r="E108" s="51">
        <v>1.7</v>
      </c>
      <c r="F108" s="70" t="s">
        <v>81</v>
      </c>
      <c r="G108" s="71"/>
      <c r="H108" s="52"/>
      <c r="I108" s="101"/>
      <c r="J108" s="70"/>
    </row>
    <row r="109" spans="1:10">
      <c r="A109" s="86">
        <v>108</v>
      </c>
      <c r="B109" s="87">
        <v>7.3</v>
      </c>
      <c r="C109" s="51">
        <v>2.9</v>
      </c>
      <c r="D109" s="51">
        <v>6.3</v>
      </c>
      <c r="E109" s="51">
        <v>1.8</v>
      </c>
      <c r="F109" s="70" t="s">
        <v>81</v>
      </c>
      <c r="G109" s="71"/>
      <c r="H109" s="52"/>
      <c r="I109" s="101"/>
      <c r="J109" s="70"/>
    </row>
    <row r="110" spans="1:10">
      <c r="A110" s="86">
        <v>109</v>
      </c>
      <c r="B110" s="87">
        <v>6.7</v>
      </c>
      <c r="C110" s="51">
        <v>2.5</v>
      </c>
      <c r="D110" s="51">
        <v>5.8</v>
      </c>
      <c r="E110" s="51">
        <v>1.8</v>
      </c>
      <c r="F110" s="70" t="s">
        <v>81</v>
      </c>
      <c r="G110" s="71"/>
      <c r="H110" s="52"/>
      <c r="I110" s="101"/>
      <c r="J110" s="70"/>
    </row>
    <row r="111" spans="1:10">
      <c r="A111" s="86">
        <v>110</v>
      </c>
      <c r="B111" s="87">
        <v>7.2</v>
      </c>
      <c r="C111" s="51">
        <v>3.6</v>
      </c>
      <c r="D111" s="51">
        <v>6.1</v>
      </c>
      <c r="E111" s="51">
        <v>2.5</v>
      </c>
      <c r="F111" s="70" t="s">
        <v>81</v>
      </c>
      <c r="G111" s="71"/>
      <c r="H111" s="52"/>
      <c r="I111" s="101"/>
      <c r="J111" s="70"/>
    </row>
    <row r="112" spans="1:10">
      <c r="A112" s="86">
        <v>111</v>
      </c>
      <c r="B112" s="87">
        <v>6.5</v>
      </c>
      <c r="C112" s="51">
        <v>3.2</v>
      </c>
      <c r="D112" s="51">
        <v>5.0999999999999996</v>
      </c>
      <c r="E112" s="51">
        <v>2</v>
      </c>
      <c r="F112" s="70" t="s">
        <v>81</v>
      </c>
      <c r="G112" s="71"/>
      <c r="H112" s="52"/>
      <c r="I112" s="101"/>
      <c r="J112" s="70"/>
    </row>
    <row r="113" spans="1:10">
      <c r="A113" s="86">
        <v>112</v>
      </c>
      <c r="B113" s="87">
        <v>6.4</v>
      </c>
      <c r="C113" s="51">
        <v>2.7</v>
      </c>
      <c r="D113" s="51">
        <v>5.3</v>
      </c>
      <c r="E113" s="51">
        <v>1.9</v>
      </c>
      <c r="F113" s="70" t="s">
        <v>81</v>
      </c>
      <c r="G113" s="71"/>
      <c r="H113" s="52"/>
      <c r="I113" s="101"/>
      <c r="J113" s="70"/>
    </row>
    <row r="114" spans="1:10">
      <c r="A114" s="86">
        <v>113</v>
      </c>
      <c r="B114" s="87">
        <v>6.8</v>
      </c>
      <c r="C114" s="51">
        <v>3</v>
      </c>
      <c r="D114" s="51">
        <v>5.5</v>
      </c>
      <c r="E114" s="51">
        <v>2.1</v>
      </c>
      <c r="F114" s="70" t="s">
        <v>81</v>
      </c>
      <c r="G114" s="71"/>
      <c r="H114" s="52"/>
      <c r="I114" s="101"/>
      <c r="J114" s="70"/>
    </row>
    <row r="115" spans="1:10">
      <c r="A115" s="86">
        <v>114</v>
      </c>
      <c r="B115" s="87">
        <v>5.7</v>
      </c>
      <c r="C115" s="51">
        <v>2.5</v>
      </c>
      <c r="D115" s="51">
        <v>5</v>
      </c>
      <c r="E115" s="51">
        <v>2</v>
      </c>
      <c r="F115" s="70" t="s">
        <v>81</v>
      </c>
      <c r="G115" s="71"/>
      <c r="H115" s="52"/>
      <c r="I115" s="101"/>
      <c r="J115" s="70"/>
    </row>
    <row r="116" spans="1:10">
      <c r="A116" s="86">
        <v>115</v>
      </c>
      <c r="B116" s="87">
        <v>5.8</v>
      </c>
      <c r="C116" s="51">
        <v>2.8</v>
      </c>
      <c r="D116" s="51">
        <v>5.0999999999999996</v>
      </c>
      <c r="E116" s="51">
        <v>2.4</v>
      </c>
      <c r="F116" s="70" t="s">
        <v>81</v>
      </c>
      <c r="G116" s="71"/>
      <c r="H116" s="52"/>
      <c r="I116" s="101"/>
      <c r="J116" s="70"/>
    </row>
    <row r="117" spans="1:10">
      <c r="A117" s="86">
        <v>116</v>
      </c>
      <c r="B117" s="87">
        <v>6.4</v>
      </c>
      <c r="C117" s="51">
        <v>3.2</v>
      </c>
      <c r="D117" s="51">
        <v>5.3</v>
      </c>
      <c r="E117" s="51">
        <v>2.2999999999999998</v>
      </c>
      <c r="F117" s="70" t="s">
        <v>81</v>
      </c>
      <c r="G117" s="71"/>
      <c r="H117" s="52"/>
      <c r="I117" s="101"/>
      <c r="J117" s="70"/>
    </row>
    <row r="118" spans="1:10">
      <c r="A118" s="86">
        <v>117</v>
      </c>
      <c r="B118" s="87">
        <v>6.5</v>
      </c>
      <c r="C118" s="51">
        <v>3</v>
      </c>
      <c r="D118" s="51">
        <v>5.5</v>
      </c>
      <c r="E118" s="51">
        <v>1.8</v>
      </c>
      <c r="F118" s="70" t="s">
        <v>81</v>
      </c>
      <c r="G118" s="71"/>
      <c r="H118" s="52"/>
      <c r="I118" s="101"/>
      <c r="J118" s="70"/>
    </row>
    <row r="119" spans="1:10">
      <c r="A119" s="86">
        <v>118</v>
      </c>
      <c r="B119" s="87">
        <v>7.7</v>
      </c>
      <c r="C119" s="51">
        <v>3.8</v>
      </c>
      <c r="D119" s="51">
        <v>6.7</v>
      </c>
      <c r="E119" s="51">
        <v>2.2000000000000002</v>
      </c>
      <c r="F119" s="70" t="s">
        <v>81</v>
      </c>
      <c r="G119" s="71"/>
      <c r="H119" s="52"/>
      <c r="I119" s="101"/>
      <c r="J119" s="70"/>
    </row>
    <row r="120" spans="1:10">
      <c r="A120" s="86">
        <v>119</v>
      </c>
      <c r="B120" s="87">
        <v>7.7</v>
      </c>
      <c r="C120" s="51">
        <v>2.6</v>
      </c>
      <c r="D120" s="51">
        <v>6.9</v>
      </c>
      <c r="E120" s="51">
        <v>2.2999999999999998</v>
      </c>
      <c r="F120" s="70" t="s">
        <v>81</v>
      </c>
      <c r="G120" s="71"/>
      <c r="H120" s="52"/>
      <c r="I120" s="101"/>
      <c r="J120" s="70"/>
    </row>
    <row r="121" spans="1:10">
      <c r="A121" s="86">
        <v>120</v>
      </c>
      <c r="B121" s="87">
        <v>6</v>
      </c>
      <c r="C121" s="51">
        <v>2.2000000000000002</v>
      </c>
      <c r="D121" s="51">
        <v>5</v>
      </c>
      <c r="E121" s="51">
        <v>1.5</v>
      </c>
      <c r="F121" s="70" t="s">
        <v>81</v>
      </c>
      <c r="G121" s="71"/>
      <c r="H121" s="52"/>
      <c r="I121" s="101"/>
      <c r="J121" s="70"/>
    </row>
    <row r="122" spans="1:10">
      <c r="A122" s="86">
        <v>121</v>
      </c>
      <c r="B122" s="87">
        <v>6.9</v>
      </c>
      <c r="C122" s="51">
        <v>3.2</v>
      </c>
      <c r="D122" s="51">
        <v>5.7</v>
      </c>
      <c r="E122" s="51">
        <v>2.2999999999999998</v>
      </c>
      <c r="F122" s="70" t="s">
        <v>81</v>
      </c>
      <c r="G122" s="71"/>
      <c r="H122" s="52"/>
      <c r="I122" s="101"/>
      <c r="J122" s="70"/>
    </row>
    <row r="123" spans="1:10">
      <c r="A123" s="86">
        <v>122</v>
      </c>
      <c r="B123" s="87">
        <v>5.6</v>
      </c>
      <c r="C123" s="51">
        <v>2.8</v>
      </c>
      <c r="D123" s="51">
        <v>4.9000000000000004</v>
      </c>
      <c r="E123" s="51">
        <v>2</v>
      </c>
      <c r="F123" s="70" t="s">
        <v>81</v>
      </c>
      <c r="G123" s="71"/>
      <c r="H123" s="52"/>
      <c r="I123" s="101"/>
      <c r="J123" s="70"/>
    </row>
    <row r="124" spans="1:10">
      <c r="A124" s="86">
        <v>123</v>
      </c>
      <c r="B124" s="87">
        <v>7.7</v>
      </c>
      <c r="C124" s="51">
        <v>2.8</v>
      </c>
      <c r="D124" s="51">
        <v>6.7</v>
      </c>
      <c r="E124" s="51">
        <v>2</v>
      </c>
      <c r="F124" s="70" t="s">
        <v>81</v>
      </c>
      <c r="G124" s="71"/>
      <c r="H124" s="52"/>
      <c r="I124" s="101"/>
      <c r="J124" s="70"/>
    </row>
    <row r="125" spans="1:10">
      <c r="A125" s="86">
        <v>124</v>
      </c>
      <c r="B125" s="87">
        <v>6.3</v>
      </c>
      <c r="C125" s="51">
        <v>2.7</v>
      </c>
      <c r="D125" s="51">
        <v>4.9000000000000004</v>
      </c>
      <c r="E125" s="51">
        <v>1.8</v>
      </c>
      <c r="F125" s="70" t="s">
        <v>81</v>
      </c>
      <c r="G125" s="71"/>
      <c r="H125" s="52"/>
      <c r="I125" s="101"/>
      <c r="J125" s="70"/>
    </row>
    <row r="126" spans="1:10">
      <c r="A126" s="86">
        <v>125</v>
      </c>
      <c r="B126" s="87">
        <v>6.7</v>
      </c>
      <c r="C126" s="51">
        <v>3.3</v>
      </c>
      <c r="D126" s="51">
        <v>5.7</v>
      </c>
      <c r="E126" s="51">
        <v>2.1</v>
      </c>
      <c r="F126" s="70" t="s">
        <v>81</v>
      </c>
      <c r="G126" s="71"/>
      <c r="H126" s="52"/>
      <c r="I126" s="101"/>
      <c r="J126" s="70"/>
    </row>
    <row r="127" spans="1:10">
      <c r="A127" s="86">
        <v>126</v>
      </c>
      <c r="B127" s="87">
        <v>7.2</v>
      </c>
      <c r="C127" s="51">
        <v>3.2</v>
      </c>
      <c r="D127" s="51">
        <v>6</v>
      </c>
      <c r="E127" s="51">
        <v>1.8</v>
      </c>
      <c r="F127" s="70" t="s">
        <v>81</v>
      </c>
      <c r="G127" s="71"/>
      <c r="H127" s="52"/>
      <c r="I127" s="101"/>
      <c r="J127" s="70"/>
    </row>
    <row r="128" spans="1:10">
      <c r="A128" s="86">
        <v>127</v>
      </c>
      <c r="B128" s="87">
        <v>6.2</v>
      </c>
      <c r="C128" s="51">
        <v>2.8</v>
      </c>
      <c r="D128" s="51">
        <v>4.8</v>
      </c>
      <c r="E128" s="51">
        <v>1.8</v>
      </c>
      <c r="F128" s="70" t="s">
        <v>81</v>
      </c>
      <c r="G128" s="71"/>
      <c r="H128" s="52"/>
      <c r="I128" s="101"/>
      <c r="J128" s="70"/>
    </row>
    <row r="129" spans="1:10">
      <c r="A129" s="86">
        <v>128</v>
      </c>
      <c r="B129" s="87">
        <v>6.1</v>
      </c>
      <c r="C129" s="51">
        <v>3</v>
      </c>
      <c r="D129" s="51">
        <v>4.9000000000000004</v>
      </c>
      <c r="E129" s="51">
        <v>1.8</v>
      </c>
      <c r="F129" s="70" t="s">
        <v>81</v>
      </c>
      <c r="G129" s="71"/>
      <c r="H129" s="52"/>
      <c r="I129" s="101"/>
      <c r="J129" s="70"/>
    </row>
    <row r="130" spans="1:10">
      <c r="A130" s="86">
        <v>129</v>
      </c>
      <c r="B130" s="87">
        <v>6.4</v>
      </c>
      <c r="C130" s="51">
        <v>2.8</v>
      </c>
      <c r="D130" s="51">
        <v>5.6</v>
      </c>
      <c r="E130" s="51">
        <v>2.1</v>
      </c>
      <c r="F130" s="70" t="s">
        <v>81</v>
      </c>
      <c r="G130" s="71"/>
      <c r="H130" s="52"/>
      <c r="I130" s="101"/>
      <c r="J130" s="70"/>
    </row>
    <row r="131" spans="1:10">
      <c r="A131" s="86">
        <v>130</v>
      </c>
      <c r="B131" s="87">
        <v>7.2</v>
      </c>
      <c r="C131" s="51">
        <v>3</v>
      </c>
      <c r="D131" s="51">
        <v>5.8</v>
      </c>
      <c r="E131" s="51">
        <v>1.6</v>
      </c>
      <c r="F131" s="70" t="s">
        <v>81</v>
      </c>
      <c r="G131" s="71"/>
      <c r="H131" s="52"/>
      <c r="I131" s="101"/>
      <c r="J131" s="70"/>
    </row>
    <row r="132" spans="1:10">
      <c r="A132" s="86">
        <v>131</v>
      </c>
      <c r="B132" s="87">
        <v>7.4</v>
      </c>
      <c r="C132" s="51">
        <v>2.8</v>
      </c>
      <c r="D132" s="51">
        <v>6.1</v>
      </c>
      <c r="E132" s="51">
        <v>1.9</v>
      </c>
      <c r="F132" s="70" t="s">
        <v>81</v>
      </c>
      <c r="G132" s="71"/>
      <c r="H132" s="52"/>
      <c r="I132" s="101"/>
      <c r="J132" s="70"/>
    </row>
    <row r="133" spans="1:10">
      <c r="A133" s="86">
        <v>132</v>
      </c>
      <c r="B133" s="87">
        <v>7.9</v>
      </c>
      <c r="C133" s="51">
        <v>3.8</v>
      </c>
      <c r="D133" s="51">
        <v>6.4</v>
      </c>
      <c r="E133" s="51">
        <v>2</v>
      </c>
      <c r="F133" s="70" t="s">
        <v>81</v>
      </c>
      <c r="G133" s="71"/>
      <c r="H133" s="52"/>
      <c r="I133" s="101"/>
      <c r="J133" s="70"/>
    </row>
    <row r="134" spans="1:10">
      <c r="A134" s="86">
        <v>133</v>
      </c>
      <c r="B134" s="87">
        <v>6.4</v>
      </c>
      <c r="C134" s="51">
        <v>2.8</v>
      </c>
      <c r="D134" s="51">
        <v>5.6</v>
      </c>
      <c r="E134" s="51">
        <v>2.2000000000000002</v>
      </c>
      <c r="F134" s="70" t="s">
        <v>81</v>
      </c>
      <c r="G134" s="71"/>
      <c r="H134" s="52"/>
      <c r="I134" s="101"/>
      <c r="J134" s="70"/>
    </row>
    <row r="135" spans="1:10">
      <c r="A135" s="86">
        <v>134</v>
      </c>
      <c r="B135" s="87">
        <v>6.3</v>
      </c>
      <c r="C135" s="51">
        <v>2.8</v>
      </c>
      <c r="D135" s="51">
        <v>5.0999999999999996</v>
      </c>
      <c r="E135" s="51">
        <v>1.5</v>
      </c>
      <c r="F135" s="70" t="s">
        <v>81</v>
      </c>
      <c r="G135" s="71"/>
      <c r="H135" s="52"/>
      <c r="I135" s="101"/>
      <c r="J135" s="70"/>
    </row>
    <row r="136" spans="1:10">
      <c r="A136" s="86">
        <v>135</v>
      </c>
      <c r="B136" s="87">
        <v>6.1</v>
      </c>
      <c r="C136" s="51">
        <v>2.6</v>
      </c>
      <c r="D136" s="51">
        <v>5.6</v>
      </c>
      <c r="E136" s="51">
        <v>1.4</v>
      </c>
      <c r="F136" s="70" t="s">
        <v>81</v>
      </c>
      <c r="G136" s="71"/>
      <c r="H136" s="52"/>
      <c r="I136" s="101"/>
      <c r="J136" s="70"/>
    </row>
    <row r="137" spans="1:10">
      <c r="A137" s="86">
        <v>136</v>
      </c>
      <c r="B137" s="87">
        <v>7.7</v>
      </c>
      <c r="C137" s="51">
        <v>3</v>
      </c>
      <c r="D137" s="51">
        <v>6.1</v>
      </c>
      <c r="E137" s="51">
        <v>2.2999999999999998</v>
      </c>
      <c r="F137" s="70" t="s">
        <v>81</v>
      </c>
      <c r="G137" s="71"/>
      <c r="H137" s="52"/>
      <c r="I137" s="101"/>
      <c r="J137" s="70"/>
    </row>
    <row r="138" spans="1:10">
      <c r="A138" s="86">
        <v>137</v>
      </c>
      <c r="B138" s="87">
        <v>6.3</v>
      </c>
      <c r="C138" s="51">
        <v>3.4</v>
      </c>
      <c r="D138" s="51">
        <v>5.6</v>
      </c>
      <c r="E138" s="51">
        <v>2.4</v>
      </c>
      <c r="F138" s="70" t="s">
        <v>81</v>
      </c>
      <c r="G138" s="71"/>
      <c r="H138" s="52"/>
      <c r="I138" s="101"/>
      <c r="J138" s="70"/>
    </row>
    <row r="139" spans="1:10">
      <c r="A139" s="86">
        <v>138</v>
      </c>
      <c r="B139" s="87">
        <v>6.4</v>
      </c>
      <c r="C139" s="51">
        <v>3.1</v>
      </c>
      <c r="D139" s="51">
        <v>5.5</v>
      </c>
      <c r="E139" s="51">
        <v>1.8</v>
      </c>
      <c r="F139" s="70" t="s">
        <v>81</v>
      </c>
      <c r="G139" s="71"/>
      <c r="H139" s="52"/>
      <c r="I139" s="101"/>
      <c r="J139" s="70"/>
    </row>
    <row r="140" spans="1:10">
      <c r="A140" s="86">
        <v>139</v>
      </c>
      <c r="B140" s="87">
        <v>6</v>
      </c>
      <c r="C140" s="51">
        <v>3</v>
      </c>
      <c r="D140" s="51">
        <v>4.8</v>
      </c>
      <c r="E140" s="51">
        <v>1.8</v>
      </c>
      <c r="F140" s="70" t="s">
        <v>81</v>
      </c>
      <c r="G140" s="71"/>
      <c r="H140" s="52"/>
      <c r="I140" s="101"/>
      <c r="J140" s="70"/>
    </row>
    <row r="141" spans="1:10">
      <c r="A141" s="86">
        <v>140</v>
      </c>
      <c r="B141" s="87">
        <v>6.9</v>
      </c>
      <c r="C141" s="51">
        <v>3.1</v>
      </c>
      <c r="D141" s="51">
        <v>5.4</v>
      </c>
      <c r="E141" s="51">
        <v>2.1</v>
      </c>
      <c r="F141" s="70" t="s">
        <v>81</v>
      </c>
      <c r="G141" s="71"/>
      <c r="H141" s="52"/>
      <c r="I141" s="101"/>
      <c r="J141" s="70"/>
    </row>
    <row r="142" spans="1:10">
      <c r="A142" s="86">
        <v>141</v>
      </c>
      <c r="B142" s="87">
        <v>6.7</v>
      </c>
      <c r="C142" s="51">
        <v>3.1</v>
      </c>
      <c r="D142" s="51">
        <v>5.6</v>
      </c>
      <c r="E142" s="51">
        <v>2.4</v>
      </c>
      <c r="F142" s="70" t="s">
        <v>81</v>
      </c>
      <c r="G142" s="71"/>
      <c r="H142" s="52"/>
      <c r="I142" s="101"/>
      <c r="J142" s="70"/>
    </row>
    <row r="143" spans="1:10">
      <c r="A143" s="86">
        <v>142</v>
      </c>
      <c r="B143" s="87">
        <v>6.9</v>
      </c>
      <c r="C143" s="51">
        <v>3.1</v>
      </c>
      <c r="D143" s="51">
        <v>5.0999999999999996</v>
      </c>
      <c r="E143" s="51">
        <v>2.2999999999999998</v>
      </c>
      <c r="F143" s="70" t="s">
        <v>81</v>
      </c>
      <c r="G143" s="71"/>
      <c r="H143" s="52"/>
      <c r="I143" s="101"/>
      <c r="J143" s="70"/>
    </row>
    <row r="144" spans="1:10">
      <c r="A144" s="86">
        <v>143</v>
      </c>
      <c r="B144" s="87">
        <v>5.8</v>
      </c>
      <c r="C144" s="51">
        <v>2.7</v>
      </c>
      <c r="D144" s="51">
        <v>5.0999999999999996</v>
      </c>
      <c r="E144" s="51">
        <v>1.9</v>
      </c>
      <c r="F144" s="70" t="s">
        <v>81</v>
      </c>
      <c r="G144" s="71"/>
      <c r="H144" s="52"/>
      <c r="I144" s="101"/>
      <c r="J144" s="70"/>
    </row>
    <row r="145" spans="1:10">
      <c r="A145" s="86">
        <v>144</v>
      </c>
      <c r="B145" s="87">
        <v>6.8</v>
      </c>
      <c r="C145" s="51">
        <v>3.2</v>
      </c>
      <c r="D145" s="51">
        <v>5.9</v>
      </c>
      <c r="E145" s="51">
        <v>2.2999999999999998</v>
      </c>
      <c r="F145" s="70" t="s">
        <v>81</v>
      </c>
      <c r="G145" s="71"/>
      <c r="H145" s="52"/>
      <c r="I145" s="101"/>
      <c r="J145" s="70"/>
    </row>
    <row r="146" spans="1:10">
      <c r="A146" s="86">
        <v>145</v>
      </c>
      <c r="B146" s="87">
        <v>6.7</v>
      </c>
      <c r="C146" s="51">
        <v>3.3</v>
      </c>
      <c r="D146" s="51">
        <v>5.7</v>
      </c>
      <c r="E146" s="51">
        <v>2.5</v>
      </c>
      <c r="F146" s="70" t="s">
        <v>81</v>
      </c>
      <c r="G146" s="71"/>
      <c r="H146" s="52"/>
      <c r="I146" s="101"/>
      <c r="J146" s="70"/>
    </row>
    <row r="147" spans="1:10">
      <c r="A147" s="86">
        <v>146</v>
      </c>
      <c r="B147" s="87">
        <v>6.7</v>
      </c>
      <c r="C147" s="51">
        <v>3</v>
      </c>
      <c r="D147" s="51">
        <v>5.2</v>
      </c>
      <c r="E147" s="51">
        <v>2.2999999999999998</v>
      </c>
      <c r="F147" s="70" t="s">
        <v>81</v>
      </c>
      <c r="G147" s="71"/>
      <c r="H147" s="52"/>
      <c r="I147" s="101"/>
      <c r="J147" s="70"/>
    </row>
    <row r="148" spans="1:10">
      <c r="A148" s="86">
        <v>147</v>
      </c>
      <c r="B148" s="87">
        <v>6.3</v>
      </c>
      <c r="C148" s="51">
        <v>2.5</v>
      </c>
      <c r="D148" s="51">
        <v>5</v>
      </c>
      <c r="E148" s="51">
        <v>1.9</v>
      </c>
      <c r="F148" s="70" t="s">
        <v>81</v>
      </c>
      <c r="G148" s="71"/>
      <c r="H148" s="52"/>
      <c r="I148" s="101"/>
      <c r="J148" s="70"/>
    </row>
    <row r="149" spans="1:10">
      <c r="A149" s="86">
        <v>148</v>
      </c>
      <c r="B149" s="87">
        <v>6.5</v>
      </c>
      <c r="C149" s="51">
        <v>3</v>
      </c>
      <c r="D149" s="51">
        <v>5.2</v>
      </c>
      <c r="E149" s="51">
        <v>2</v>
      </c>
      <c r="F149" s="70" t="s">
        <v>81</v>
      </c>
      <c r="G149" s="71"/>
      <c r="H149" s="52"/>
      <c r="I149" s="101"/>
      <c r="J149" s="70"/>
    </row>
    <row r="150" spans="1:10">
      <c r="A150" s="86">
        <v>149</v>
      </c>
      <c r="B150" s="87">
        <v>6.2</v>
      </c>
      <c r="C150" s="51">
        <v>3.4</v>
      </c>
      <c r="D150" s="51">
        <v>5.4</v>
      </c>
      <c r="E150" s="51">
        <v>2.2999999999999998</v>
      </c>
      <c r="F150" s="70" t="s">
        <v>81</v>
      </c>
      <c r="G150" s="71"/>
      <c r="H150" s="52"/>
      <c r="I150" s="101"/>
      <c r="J150" s="70"/>
    </row>
    <row r="151" spans="1:10" ht="15" thickBot="1">
      <c r="A151" s="96">
        <v>150</v>
      </c>
      <c r="B151" s="97">
        <v>5.9</v>
      </c>
      <c r="C151" s="98">
        <v>3</v>
      </c>
      <c r="D151" s="98">
        <v>5.0999999999999996</v>
      </c>
      <c r="E151" s="98">
        <v>1.8</v>
      </c>
      <c r="F151" s="99" t="s">
        <v>81</v>
      </c>
      <c r="G151" s="74"/>
      <c r="H151" s="60"/>
      <c r="I151" s="102"/>
      <c r="J151" s="99"/>
    </row>
  </sheetData>
  <mergeCells count="1">
    <mergeCell ref="L2:P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A5B5-13AD-4EF0-9DA3-C96059D7E945}">
  <dimension ref="B1:O21"/>
  <sheetViews>
    <sheetView zoomScaleNormal="100" workbookViewId="0"/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5" ht="15" thickBot="1"/>
    <row r="2" spans="2:15" ht="15" thickBot="1">
      <c r="E2" s="300" t="s">
        <v>92</v>
      </c>
      <c r="F2" s="301"/>
      <c r="H2" s="300" t="s">
        <v>92</v>
      </c>
      <c r="I2" s="301"/>
      <c r="K2" s="300" t="s">
        <v>92</v>
      </c>
      <c r="L2" s="301"/>
      <c r="O2" s="24" t="s">
        <v>201</v>
      </c>
    </row>
    <row r="3" spans="2:15" ht="15" thickBot="1">
      <c r="B3" s="104" t="s">
        <v>69</v>
      </c>
      <c r="C3" s="103" t="s">
        <v>93</v>
      </c>
      <c r="D3" s="105" t="s">
        <v>94</v>
      </c>
      <c r="E3" s="103" t="s">
        <v>95</v>
      </c>
      <c r="F3" s="105" t="s">
        <v>96</v>
      </c>
      <c r="G3" s="91" t="s">
        <v>97</v>
      </c>
      <c r="H3" s="103" t="s">
        <v>98</v>
      </c>
      <c r="I3" s="105" t="s">
        <v>99</v>
      </c>
      <c r="J3" s="91" t="s">
        <v>97</v>
      </c>
      <c r="K3" s="105" t="s">
        <v>100</v>
      </c>
      <c r="L3" s="105" t="s">
        <v>101</v>
      </c>
      <c r="M3" s="91" t="s">
        <v>97</v>
      </c>
    </row>
    <row r="4" spans="2:15">
      <c r="B4" s="106">
        <v>1</v>
      </c>
      <c r="C4" s="107">
        <v>1</v>
      </c>
      <c r="D4" s="108">
        <v>1</v>
      </c>
      <c r="E4" s="254">
        <f>SQRT((C4-$C$12)^2+(D4-$D$12)^2)</f>
        <v>0</v>
      </c>
      <c r="F4" s="255">
        <f>SQRT((C4-$C$13)^2+(D4-$D$13)^2)</f>
        <v>7.2111025509279782</v>
      </c>
      <c r="G4" s="256" t="str">
        <f>IF(E4&lt;=F4,"C1","C2")</f>
        <v>C1</v>
      </c>
      <c r="H4" s="254">
        <f>SQRT((C4-$C$14)^2+(D4-$D$14)^2)</f>
        <v>1.5723301886761007</v>
      </c>
      <c r="I4" s="255">
        <f>SQRT((C4-$C$15)^2+(D4-$D$15)^2)</f>
        <v>5.3764532919016421</v>
      </c>
      <c r="J4" s="256" t="str">
        <f>IF(H4&lt;=I4,"C1","C2")</f>
        <v>C1</v>
      </c>
      <c r="K4" s="254">
        <f>SQRT((C4-$C$16)^2+(D4-$D$16)^2)</f>
        <v>0.55901699437494745</v>
      </c>
      <c r="L4" s="255">
        <f>SQRT((C4-$C$17)^2+(D4-$D$17)^2)</f>
        <v>5.0219518117958879</v>
      </c>
      <c r="M4" s="256" t="str">
        <f>IF(K4&lt;=L4,"C1","C2")</f>
        <v>C1</v>
      </c>
    </row>
    <row r="5" spans="2:15" ht="15" thickBot="1">
      <c r="B5" s="106">
        <v>2</v>
      </c>
      <c r="C5" s="107">
        <v>1.5</v>
      </c>
      <c r="D5" s="108">
        <v>2</v>
      </c>
      <c r="E5" s="257">
        <f t="shared" ref="E5:E10" si="0">SQRT((C5-$C$12)^2+(D5-$D$12)^2)</f>
        <v>1.1180339887498949</v>
      </c>
      <c r="F5" s="261">
        <f t="shared" ref="F5:F10" si="1">SQRT((C5-$C$13)^2+(D5-$D$13)^2)</f>
        <v>6.103277807866851</v>
      </c>
      <c r="G5" s="258" t="str">
        <f t="shared" ref="G5:G10" si="2">IF(E5&lt;=F5,"C1","C2")</f>
        <v>C1</v>
      </c>
      <c r="H5" s="262">
        <f t="shared" ref="H5:H10" si="3">SQRT((C5-$C$14)^2+(D5-$D$14)^2)</f>
        <v>0.47140452079103173</v>
      </c>
      <c r="I5" s="263">
        <f t="shared" ref="I5:I10" si="4">SQRT((C5-$C$15)^2+(D5-$D$15)^2)</f>
        <v>4.2756578441217679</v>
      </c>
      <c r="J5" s="264" t="str">
        <f t="shared" ref="J5:J10" si="5">IF(H5&lt;=I5,"C1","C2")</f>
        <v>C1</v>
      </c>
      <c r="K5" s="262">
        <f t="shared" ref="K5:K10" si="6">SQRT((C5-$C$16)^2+(D5-$D$16)^2)</f>
        <v>0.55901699437494745</v>
      </c>
      <c r="L5" s="263">
        <f t="shared" ref="L5:L10" si="7">SQRT((C5-$C$17)^2+(D5-$D$17)^2)</f>
        <v>3.9204591567825315</v>
      </c>
      <c r="M5" s="264" t="str">
        <f t="shared" ref="M5:M10" si="8">IF(K5&lt;=L5,"C1","C2")</f>
        <v>C1</v>
      </c>
    </row>
    <row r="6" spans="2:15" ht="15" thickBot="1">
      <c r="B6" s="106">
        <v>3</v>
      </c>
      <c r="C6" s="107">
        <v>3</v>
      </c>
      <c r="D6" s="108">
        <v>4</v>
      </c>
      <c r="E6" s="262">
        <f t="shared" si="0"/>
        <v>3.6055512754639891</v>
      </c>
      <c r="F6" s="263">
        <f t="shared" si="1"/>
        <v>3.6055512754639891</v>
      </c>
      <c r="G6" s="264" t="str">
        <f t="shared" si="2"/>
        <v>C1</v>
      </c>
      <c r="H6" s="185">
        <f t="shared" si="3"/>
        <v>2.0344259359556172</v>
      </c>
      <c r="I6" s="185">
        <f t="shared" si="4"/>
        <v>1.7765838004439869</v>
      </c>
      <c r="J6" s="265" t="str">
        <f t="shared" si="5"/>
        <v>C2</v>
      </c>
      <c r="K6" s="184">
        <f t="shared" si="6"/>
        <v>3.0516389039334255</v>
      </c>
      <c r="L6" s="185">
        <f t="shared" si="7"/>
        <v>1.4212670403551892</v>
      </c>
      <c r="M6" s="259" t="str">
        <f t="shared" si="8"/>
        <v>C2</v>
      </c>
    </row>
    <row r="7" spans="2:15">
      <c r="B7" s="106">
        <v>4</v>
      </c>
      <c r="C7" s="107">
        <v>5</v>
      </c>
      <c r="D7" s="108">
        <v>7</v>
      </c>
      <c r="E7" s="184">
        <f t="shared" si="0"/>
        <v>7.2111025509279782</v>
      </c>
      <c r="F7" s="185">
        <f t="shared" si="1"/>
        <v>0</v>
      </c>
      <c r="G7" s="259" t="str">
        <f t="shared" si="2"/>
        <v>C2</v>
      </c>
      <c r="H7" s="185">
        <f t="shared" si="3"/>
        <v>5.6396414385628768</v>
      </c>
      <c r="I7" s="185">
        <f t="shared" si="4"/>
        <v>1.845602882529175</v>
      </c>
      <c r="J7" s="265" t="str">
        <f t="shared" si="5"/>
        <v>C2</v>
      </c>
      <c r="K7" s="184">
        <f t="shared" si="6"/>
        <v>6.656763477847174</v>
      </c>
      <c r="L7" s="185">
        <f t="shared" si="7"/>
        <v>2.1954498400100153</v>
      </c>
      <c r="M7" s="259" t="str">
        <f t="shared" si="8"/>
        <v>C2</v>
      </c>
    </row>
    <row r="8" spans="2:15">
      <c r="B8" s="106">
        <v>5</v>
      </c>
      <c r="C8" s="107">
        <v>3.5</v>
      </c>
      <c r="D8" s="108">
        <v>5</v>
      </c>
      <c r="E8" s="184">
        <f t="shared" si="0"/>
        <v>4.7169905660283016</v>
      </c>
      <c r="F8" s="185">
        <f t="shared" si="1"/>
        <v>2.5</v>
      </c>
      <c r="G8" s="259" t="str">
        <f t="shared" si="2"/>
        <v>C2</v>
      </c>
      <c r="H8" s="185">
        <f t="shared" si="3"/>
        <v>3.1446603773522015</v>
      </c>
      <c r="I8" s="185">
        <f t="shared" si="4"/>
        <v>0.72886898685566259</v>
      </c>
      <c r="J8" s="265" t="str">
        <f t="shared" si="5"/>
        <v>C2</v>
      </c>
      <c r="K8" s="184">
        <f t="shared" si="6"/>
        <v>4.1608292442733097</v>
      </c>
      <c r="L8" s="185">
        <f t="shared" si="7"/>
        <v>0.41231056256176585</v>
      </c>
      <c r="M8" s="259" t="str">
        <f t="shared" si="8"/>
        <v>C2</v>
      </c>
    </row>
    <row r="9" spans="2:15">
      <c r="B9" s="106">
        <v>6</v>
      </c>
      <c r="C9" s="107">
        <v>4.5</v>
      </c>
      <c r="D9" s="108">
        <v>5</v>
      </c>
      <c r="E9" s="184">
        <f t="shared" si="0"/>
        <v>5.315072906367325</v>
      </c>
      <c r="F9" s="185">
        <f t="shared" si="1"/>
        <v>2.0615528128088303</v>
      </c>
      <c r="G9" s="259" t="str">
        <f t="shared" si="2"/>
        <v>C2</v>
      </c>
      <c r="H9" s="185">
        <f t="shared" si="3"/>
        <v>3.7712361663282534</v>
      </c>
      <c r="I9" s="185">
        <f t="shared" si="4"/>
        <v>0.5303300858899106</v>
      </c>
      <c r="J9" s="265" t="str">
        <f t="shared" si="5"/>
        <v>C2</v>
      </c>
      <c r="K9" s="184">
        <f t="shared" si="6"/>
        <v>4.7762432936356998</v>
      </c>
      <c r="L9" s="185">
        <f t="shared" si="7"/>
        <v>0.60827625302982202</v>
      </c>
      <c r="M9" s="259" t="str">
        <f t="shared" si="8"/>
        <v>C2</v>
      </c>
    </row>
    <row r="10" spans="2:15" ht="15" thickBot="1">
      <c r="B10" s="109">
        <v>7</v>
      </c>
      <c r="C10" s="110">
        <v>3.5</v>
      </c>
      <c r="D10" s="111">
        <v>4.5</v>
      </c>
      <c r="E10" s="186">
        <f t="shared" si="0"/>
        <v>4.3011626335213133</v>
      </c>
      <c r="F10" s="187">
        <f t="shared" si="1"/>
        <v>2.9154759474226504</v>
      </c>
      <c r="G10" s="260" t="str">
        <f t="shared" si="2"/>
        <v>C2</v>
      </c>
      <c r="H10" s="187">
        <f t="shared" si="3"/>
        <v>2.733536577809454</v>
      </c>
      <c r="I10" s="187">
        <f t="shared" si="4"/>
        <v>1.0752906583803283</v>
      </c>
      <c r="J10" s="266" t="str">
        <f t="shared" si="5"/>
        <v>C2</v>
      </c>
      <c r="K10" s="186">
        <f t="shared" si="6"/>
        <v>3.75</v>
      </c>
      <c r="L10" s="187">
        <f t="shared" si="7"/>
        <v>0.72111025509279758</v>
      </c>
      <c r="M10" s="260" t="str">
        <f t="shared" si="8"/>
        <v>C2</v>
      </c>
    </row>
    <row r="11" spans="2:15" ht="15" thickBot="1"/>
    <row r="12" spans="2:15">
      <c r="B12" s="112" t="s">
        <v>102</v>
      </c>
      <c r="C12" s="113">
        <v>1</v>
      </c>
      <c r="D12" s="114">
        <v>1</v>
      </c>
    </row>
    <row r="13" spans="2:15" ht="15" thickBot="1">
      <c r="B13" s="21" t="s">
        <v>103</v>
      </c>
      <c r="C13" s="110">
        <v>5</v>
      </c>
      <c r="D13" s="115">
        <v>7</v>
      </c>
    </row>
    <row r="14" spans="2:15">
      <c r="B14" s="112" t="s">
        <v>104</v>
      </c>
      <c r="C14" s="113">
        <f>AVERAGE(C4:C6)</f>
        <v>1.8333333333333333</v>
      </c>
      <c r="D14" s="114">
        <f>AVERAGE(D4:D6)</f>
        <v>2.3333333333333335</v>
      </c>
    </row>
    <row r="15" spans="2:15" ht="15" thickBot="1">
      <c r="B15" s="21" t="s">
        <v>105</v>
      </c>
      <c r="C15" s="110">
        <f>AVERAGE(C7:C10)</f>
        <v>4.125</v>
      </c>
      <c r="D15" s="115">
        <f>AVERAGE(D7:D10)</f>
        <v>5.375</v>
      </c>
    </row>
    <row r="16" spans="2:15">
      <c r="B16" s="112" t="s">
        <v>106</v>
      </c>
      <c r="C16" s="107">
        <f>AVERAGE(C4:C5)</f>
        <v>1.25</v>
      </c>
      <c r="D16" s="116">
        <f>AVERAGE(D4:D5)</f>
        <v>1.5</v>
      </c>
    </row>
    <row r="17" spans="2:6" ht="15" thickBot="1">
      <c r="B17" s="21" t="s">
        <v>107</v>
      </c>
      <c r="C17" s="110">
        <f>AVERAGE(C6:C10)</f>
        <v>3.9</v>
      </c>
      <c r="D17" s="115">
        <f>AVERAGE(D6:D10)</f>
        <v>5.0999999999999996</v>
      </c>
    </row>
    <row r="19" spans="2:6" ht="15" thickBot="1">
      <c r="B19" s="302" t="s">
        <v>108</v>
      </c>
      <c r="C19" s="302"/>
    </row>
    <row r="20" spans="2:6" ht="15" thickBot="1">
      <c r="B20" s="117" t="s">
        <v>93</v>
      </c>
      <c r="C20" s="118" t="s">
        <v>94</v>
      </c>
      <c r="D20" s="117" t="s">
        <v>109</v>
      </c>
      <c r="E20" s="119" t="s">
        <v>110</v>
      </c>
      <c r="F20" s="118" t="s">
        <v>111</v>
      </c>
    </row>
    <row r="21" spans="2:6" ht="15" thickBot="1">
      <c r="B21" s="120">
        <v>3</v>
      </c>
      <c r="C21" s="121">
        <v>3</v>
      </c>
      <c r="D21" s="121">
        <f>SQRT((C16-B21)^2+(C21-D16)^2)</f>
        <v>2.3048861143232218</v>
      </c>
      <c r="E21" s="121">
        <f>SQRT((B21-C17)^2+(C21-D17)^2)</f>
        <v>2.2847319317591719</v>
      </c>
      <c r="F21" s="122" t="str">
        <f>IF(D21&lt;=E21,"Cluster-1","Cluster-2")</f>
        <v>Cluster-2</v>
      </c>
    </row>
  </sheetData>
  <mergeCells count="4">
    <mergeCell ref="E2:F2"/>
    <mergeCell ref="H2:I2"/>
    <mergeCell ref="K2:L2"/>
    <mergeCell ref="B19:C19"/>
  </mergeCells>
  <pageMargins left="0.7" right="0.7" top="0.75" bottom="0.75" header="0.3" footer="0.3"/>
  <ignoredErrors>
    <ignoredError sqref="C14:D15 C16:D17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9744-6985-4D62-8438-692B3A8F9A0C}">
  <dimension ref="B1:M21"/>
  <sheetViews>
    <sheetView zoomScale="120" zoomScaleNormal="120" workbookViewId="0"/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3" ht="15" thickBot="1"/>
    <row r="2" spans="2:13" ht="15" thickBot="1">
      <c r="E2" s="300" t="s">
        <v>92</v>
      </c>
      <c r="F2" s="301"/>
      <c r="H2" s="300" t="s">
        <v>92</v>
      </c>
      <c r="I2" s="301"/>
      <c r="K2" s="300" t="s">
        <v>92</v>
      </c>
      <c r="L2" s="301"/>
    </row>
    <row r="3" spans="2:13" ht="15" thickBot="1">
      <c r="B3" s="104" t="s">
        <v>69</v>
      </c>
      <c r="C3" s="103" t="s">
        <v>93</v>
      </c>
      <c r="D3" s="105" t="s">
        <v>94</v>
      </c>
      <c r="E3" s="117" t="s">
        <v>95</v>
      </c>
      <c r="F3" s="119" t="s">
        <v>96</v>
      </c>
      <c r="G3" s="118" t="s">
        <v>97</v>
      </c>
      <c r="H3" s="117" t="s">
        <v>98</v>
      </c>
      <c r="I3" s="119" t="s">
        <v>99</v>
      </c>
      <c r="J3" s="118" t="s">
        <v>97</v>
      </c>
      <c r="K3" s="119" t="s">
        <v>100</v>
      </c>
      <c r="L3" s="119" t="s">
        <v>101</v>
      </c>
      <c r="M3" s="118" t="s">
        <v>97</v>
      </c>
    </row>
    <row r="4" spans="2:13">
      <c r="B4" s="106">
        <v>1</v>
      </c>
      <c r="C4" s="107">
        <v>1</v>
      </c>
      <c r="D4" s="108">
        <v>1</v>
      </c>
      <c r="E4" s="272"/>
      <c r="F4" s="273"/>
      <c r="G4" s="26"/>
      <c r="H4" s="272"/>
      <c r="I4" s="273"/>
      <c r="J4" s="274"/>
      <c r="K4" s="273"/>
      <c r="L4" s="273"/>
      <c r="M4" s="274"/>
    </row>
    <row r="5" spans="2:13">
      <c r="B5" s="106">
        <v>2</v>
      </c>
      <c r="C5" s="107">
        <v>1.5</v>
      </c>
      <c r="D5" s="108">
        <v>2</v>
      </c>
      <c r="E5" s="275"/>
      <c r="F5" s="280"/>
      <c r="H5" s="275"/>
      <c r="I5" s="280"/>
      <c r="J5" s="276"/>
      <c r="K5" s="280"/>
      <c r="L5" s="280"/>
      <c r="M5" s="276"/>
    </row>
    <row r="6" spans="2:13">
      <c r="B6" s="106">
        <v>3</v>
      </c>
      <c r="C6" s="107">
        <v>3</v>
      </c>
      <c r="D6" s="108">
        <v>4</v>
      </c>
      <c r="E6" s="275"/>
      <c r="F6" s="280"/>
      <c r="H6" s="275"/>
      <c r="I6" s="280"/>
      <c r="J6" s="276"/>
      <c r="K6" s="280"/>
      <c r="L6" s="280"/>
      <c r="M6" s="276"/>
    </row>
    <row r="7" spans="2:13">
      <c r="B7" s="106">
        <v>4</v>
      </c>
      <c r="C7" s="107">
        <v>5</v>
      </c>
      <c r="D7" s="108">
        <v>7</v>
      </c>
      <c r="E7" s="275"/>
      <c r="F7" s="280"/>
      <c r="H7" s="275"/>
      <c r="I7" s="280"/>
      <c r="J7" s="276"/>
      <c r="K7" s="280"/>
      <c r="L7" s="280"/>
      <c r="M7" s="276"/>
    </row>
    <row r="8" spans="2:13">
      <c r="B8" s="106">
        <v>5</v>
      </c>
      <c r="C8" s="107">
        <v>3.5</v>
      </c>
      <c r="D8" s="108">
        <v>5</v>
      </c>
      <c r="E8" s="275"/>
      <c r="F8" s="280"/>
      <c r="H8" s="275"/>
      <c r="I8" s="280"/>
      <c r="J8" s="276"/>
      <c r="K8" s="280"/>
      <c r="L8" s="280"/>
      <c r="M8" s="276"/>
    </row>
    <row r="9" spans="2:13">
      <c r="B9" s="106">
        <v>6</v>
      </c>
      <c r="C9" s="107">
        <v>4.5</v>
      </c>
      <c r="D9" s="108">
        <v>5</v>
      </c>
      <c r="E9" s="275"/>
      <c r="F9" s="280"/>
      <c r="H9" s="275"/>
      <c r="I9" s="280"/>
      <c r="J9" s="276"/>
      <c r="K9" s="280"/>
      <c r="L9" s="280"/>
      <c r="M9" s="276"/>
    </row>
    <row r="10" spans="2:13" ht="15" thickBot="1">
      <c r="B10" s="109">
        <v>7</v>
      </c>
      <c r="C10" s="110">
        <v>3.5</v>
      </c>
      <c r="D10" s="111">
        <v>4.5</v>
      </c>
      <c r="E10" s="277"/>
      <c r="F10" s="278"/>
      <c r="G10" s="29"/>
      <c r="H10" s="277"/>
      <c r="I10" s="278"/>
      <c r="J10" s="279"/>
      <c r="K10" s="278"/>
      <c r="L10" s="278"/>
      <c r="M10" s="279"/>
    </row>
    <row r="11" spans="2:13" ht="15" thickBot="1"/>
    <row r="12" spans="2:13">
      <c r="B12" s="112" t="s">
        <v>102</v>
      </c>
      <c r="C12" s="113">
        <v>1</v>
      </c>
      <c r="D12" s="114">
        <v>1</v>
      </c>
    </row>
    <row r="13" spans="2:13" ht="15" thickBot="1">
      <c r="B13" s="21" t="s">
        <v>103</v>
      </c>
      <c r="C13" s="110">
        <v>5</v>
      </c>
      <c r="D13" s="115">
        <v>7</v>
      </c>
    </row>
    <row r="14" spans="2:13">
      <c r="B14" s="112" t="s">
        <v>104</v>
      </c>
      <c r="C14" s="113"/>
      <c r="D14" s="114"/>
    </row>
    <row r="15" spans="2:13" ht="15" thickBot="1">
      <c r="B15" s="21" t="s">
        <v>105</v>
      </c>
      <c r="C15" s="110"/>
      <c r="D15" s="115"/>
    </row>
    <row r="16" spans="2:13">
      <c r="B16" s="112" t="s">
        <v>106</v>
      </c>
      <c r="C16" s="107"/>
      <c r="D16" s="116"/>
    </row>
    <row r="17" spans="2:6" ht="15" thickBot="1">
      <c r="B17" s="21" t="s">
        <v>107</v>
      </c>
      <c r="C17" s="110"/>
      <c r="D17" s="115"/>
    </row>
    <row r="19" spans="2:6" ht="15" thickBot="1">
      <c r="B19" s="302" t="s">
        <v>108</v>
      </c>
      <c r="C19" s="302"/>
    </row>
    <row r="20" spans="2:6" ht="15" thickBot="1">
      <c r="B20" s="117" t="s">
        <v>93</v>
      </c>
      <c r="C20" s="118" t="s">
        <v>94</v>
      </c>
      <c r="D20" s="117" t="s">
        <v>109</v>
      </c>
      <c r="E20" s="119" t="s">
        <v>110</v>
      </c>
      <c r="F20" s="118" t="s">
        <v>111</v>
      </c>
    </row>
    <row r="21" spans="2:6" ht="15" thickBot="1">
      <c r="B21" s="120">
        <v>3</v>
      </c>
      <c r="C21" s="121">
        <v>3</v>
      </c>
      <c r="D21" s="121"/>
      <c r="E21" s="121"/>
      <c r="F21" s="122"/>
    </row>
  </sheetData>
  <mergeCells count="4">
    <mergeCell ref="E2:F2"/>
    <mergeCell ref="H2:I2"/>
    <mergeCell ref="K2:L2"/>
    <mergeCell ref="B19:C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F5D6-F88E-4432-BD67-49D849DB43B3}">
  <dimension ref="B1:V31"/>
  <sheetViews>
    <sheetView zoomScaleNormal="100" workbookViewId="0"/>
  </sheetViews>
  <sheetFormatPr defaultColWidth="8.88671875" defaultRowHeight="14.4"/>
  <cols>
    <col min="1" max="1" width="8.88671875" style="1"/>
    <col min="2" max="2" width="8.5546875" style="1" bestFit="1" customWidth="1"/>
    <col min="3" max="3" width="12.21875" style="1" bestFit="1" customWidth="1"/>
    <col min="4" max="4" width="10.5546875" style="1" bestFit="1" customWidth="1"/>
    <col min="5" max="8" width="8.88671875" style="1"/>
    <col min="9" max="10" width="12.21875" style="1" bestFit="1" customWidth="1"/>
    <col min="11" max="13" width="8.88671875" style="1"/>
    <col min="14" max="15" width="12.21875" style="1" bestFit="1" customWidth="1"/>
    <col min="16" max="16" width="10.5546875" style="1" bestFit="1" customWidth="1"/>
    <col min="17" max="16384" width="8.88671875" style="1"/>
  </cols>
  <sheetData>
    <row r="1" spans="2:19" ht="24" thickBot="1">
      <c r="B1" s="303" t="s">
        <v>112</v>
      </c>
      <c r="C1" s="304"/>
      <c r="D1" s="304"/>
      <c r="E1" s="304"/>
      <c r="F1" s="304"/>
      <c r="G1" s="304"/>
      <c r="H1" s="304"/>
      <c r="I1" s="304"/>
      <c r="J1" s="304"/>
      <c r="K1" s="304"/>
      <c r="L1" s="305"/>
    </row>
    <row r="2" spans="2:19" ht="16.2" thickBot="1">
      <c r="B2" s="132"/>
      <c r="C2" s="132"/>
      <c r="D2" s="132"/>
      <c r="E2" s="132"/>
      <c r="F2" s="132"/>
      <c r="G2" s="132"/>
      <c r="H2" s="132"/>
    </row>
    <row r="3" spans="2:19" ht="16.2" thickBot="1">
      <c r="B3" s="132"/>
      <c r="C3" s="132"/>
      <c r="D3" s="132"/>
      <c r="E3" s="132"/>
      <c r="F3" s="132"/>
      <c r="G3" s="132"/>
      <c r="H3" s="132"/>
      <c r="M3" s="133" t="s">
        <v>92</v>
      </c>
      <c r="N3" s="134" t="s">
        <v>113</v>
      </c>
      <c r="O3" s="135" t="s">
        <v>114</v>
      </c>
      <c r="P3" s="135" t="s">
        <v>115</v>
      </c>
      <c r="Q3" s="135" t="s">
        <v>116</v>
      </c>
      <c r="R3" s="135" t="s">
        <v>117</v>
      </c>
      <c r="S3" s="136" t="s">
        <v>118</v>
      </c>
    </row>
    <row r="4" spans="2:19" ht="15.6">
      <c r="B4" s="132"/>
      <c r="C4" s="132"/>
      <c r="D4" s="132"/>
      <c r="E4" s="132"/>
      <c r="F4" s="132"/>
      <c r="G4" s="132"/>
      <c r="H4" s="132"/>
      <c r="M4" s="68" t="s">
        <v>113</v>
      </c>
      <c r="N4" s="137">
        <v>0</v>
      </c>
      <c r="O4" s="138">
        <v>662</v>
      </c>
      <c r="P4" s="138">
        <v>877</v>
      </c>
      <c r="Q4" s="138">
        <v>255</v>
      </c>
      <c r="R4" s="138">
        <v>412</v>
      </c>
      <c r="S4" s="139">
        <v>996</v>
      </c>
    </row>
    <row r="5" spans="2:19" ht="15.6">
      <c r="B5" s="132"/>
      <c r="C5" s="132"/>
      <c r="D5" s="132"/>
      <c r="E5" s="132"/>
      <c r="F5" s="132"/>
      <c r="G5" s="132"/>
      <c r="H5" s="132"/>
      <c r="M5" s="69" t="s">
        <v>114</v>
      </c>
      <c r="N5" s="140">
        <v>662</v>
      </c>
      <c r="O5" s="141">
        <v>0</v>
      </c>
      <c r="P5" s="141">
        <v>295</v>
      </c>
      <c r="Q5" s="141">
        <v>468</v>
      </c>
      <c r="R5" s="141">
        <v>268</v>
      </c>
      <c r="S5" s="142">
        <v>400</v>
      </c>
    </row>
    <row r="6" spans="2:19" ht="15.6">
      <c r="B6" s="132"/>
      <c r="C6" s="132"/>
      <c r="D6" s="132"/>
      <c r="E6" s="132"/>
      <c r="F6" s="132"/>
      <c r="G6" s="132"/>
      <c r="H6" s="132"/>
      <c r="M6" s="69" t="s">
        <v>115</v>
      </c>
      <c r="N6" s="140">
        <v>877</v>
      </c>
      <c r="O6" s="141">
        <v>295</v>
      </c>
      <c r="P6" s="141">
        <v>0</v>
      </c>
      <c r="Q6" s="141">
        <v>754</v>
      </c>
      <c r="R6" s="141">
        <v>564</v>
      </c>
      <c r="S6" s="143">
        <v>138</v>
      </c>
    </row>
    <row r="7" spans="2:19" ht="15.6">
      <c r="B7" s="132"/>
      <c r="C7" s="132"/>
      <c r="D7" s="132"/>
      <c r="E7" s="132"/>
      <c r="F7" s="132"/>
      <c r="G7" s="132"/>
      <c r="H7" s="132"/>
      <c r="M7" s="69" t="s">
        <v>116</v>
      </c>
      <c r="N7" s="140">
        <v>255</v>
      </c>
      <c r="O7" s="141">
        <v>468</v>
      </c>
      <c r="P7" s="141">
        <v>754</v>
      </c>
      <c r="Q7" s="141">
        <v>0</v>
      </c>
      <c r="R7" s="141">
        <v>219</v>
      </c>
      <c r="S7" s="142">
        <v>869</v>
      </c>
    </row>
    <row r="8" spans="2:19" ht="15.6">
      <c r="B8" s="132"/>
      <c r="C8" s="132"/>
      <c r="D8" s="132"/>
      <c r="E8" s="132"/>
      <c r="F8" s="132"/>
      <c r="G8" s="132"/>
      <c r="H8" s="132"/>
      <c r="M8" s="69" t="s">
        <v>117</v>
      </c>
      <c r="N8" s="140">
        <v>412</v>
      </c>
      <c r="O8" s="141">
        <v>268</v>
      </c>
      <c r="P8" s="141">
        <v>564</v>
      </c>
      <c r="Q8" s="141">
        <v>219</v>
      </c>
      <c r="R8" s="141">
        <v>0</v>
      </c>
      <c r="S8" s="142">
        <v>669</v>
      </c>
    </row>
    <row r="9" spans="2:19" ht="16.2" thickBot="1">
      <c r="B9" s="132"/>
      <c r="C9" s="132"/>
      <c r="D9" s="132"/>
      <c r="E9" s="132"/>
      <c r="F9" s="132"/>
      <c r="G9" s="132"/>
      <c r="H9" s="132"/>
      <c r="M9" s="72" t="s">
        <v>118</v>
      </c>
      <c r="N9" s="144">
        <v>996</v>
      </c>
      <c r="O9" s="145">
        <v>400</v>
      </c>
      <c r="P9" s="146">
        <v>138</v>
      </c>
      <c r="Q9" s="145">
        <v>869</v>
      </c>
      <c r="R9" s="145">
        <v>669</v>
      </c>
      <c r="S9" s="147">
        <v>0</v>
      </c>
    </row>
    <row r="10" spans="2:19" ht="15.6">
      <c r="B10" s="132"/>
      <c r="C10" s="132"/>
      <c r="D10" s="132"/>
      <c r="E10" s="132"/>
      <c r="F10" s="132"/>
      <c r="G10" s="132"/>
      <c r="H10" s="132"/>
    </row>
    <row r="11" spans="2:19" ht="16.2" thickBot="1">
      <c r="B11" s="132"/>
      <c r="C11" s="132"/>
      <c r="D11" s="132"/>
      <c r="E11" s="132"/>
      <c r="F11" s="132"/>
      <c r="G11" s="132"/>
      <c r="H11" s="132"/>
    </row>
    <row r="12" spans="2:19" ht="16.2" thickBot="1">
      <c r="B12" s="132"/>
      <c r="C12" s="132"/>
      <c r="D12" s="132"/>
      <c r="E12" s="132"/>
      <c r="F12" s="132"/>
      <c r="G12" s="132"/>
      <c r="H12" s="132"/>
      <c r="M12" s="148" t="s">
        <v>92</v>
      </c>
      <c r="N12" s="149" t="s">
        <v>113</v>
      </c>
      <c r="O12" s="150" t="s">
        <v>114</v>
      </c>
      <c r="P12" s="150" t="s">
        <v>119</v>
      </c>
      <c r="Q12" s="150" t="s">
        <v>116</v>
      </c>
      <c r="R12" s="151" t="s">
        <v>117</v>
      </c>
    </row>
    <row r="13" spans="2:19" ht="15.6">
      <c r="B13" s="132"/>
      <c r="C13" s="132"/>
      <c r="D13" s="132"/>
      <c r="E13" s="132"/>
      <c r="F13" s="132"/>
      <c r="G13" s="132"/>
      <c r="H13" s="132"/>
      <c r="M13" s="152" t="s">
        <v>113</v>
      </c>
      <c r="N13" s="153">
        <v>0</v>
      </c>
      <c r="O13" s="154">
        <v>662</v>
      </c>
      <c r="P13" s="154">
        <v>877</v>
      </c>
      <c r="Q13" s="154">
        <v>255</v>
      </c>
      <c r="R13" s="155">
        <v>412</v>
      </c>
    </row>
    <row r="14" spans="2:19" ht="15.6">
      <c r="B14" s="132"/>
      <c r="C14" s="132"/>
      <c r="D14" s="132"/>
      <c r="E14" s="132"/>
      <c r="F14" s="132"/>
      <c r="G14" s="132"/>
      <c r="H14" s="132"/>
      <c r="M14" s="156" t="s">
        <v>114</v>
      </c>
      <c r="N14" s="140">
        <v>662</v>
      </c>
      <c r="O14" s="141">
        <v>0</v>
      </c>
      <c r="P14" s="141">
        <v>295</v>
      </c>
      <c r="Q14" s="141">
        <v>468</v>
      </c>
      <c r="R14" s="157">
        <v>268</v>
      </c>
    </row>
    <row r="15" spans="2:19" ht="15.6">
      <c r="B15" s="132"/>
      <c r="C15" s="132"/>
      <c r="D15" s="132"/>
      <c r="E15" s="132"/>
      <c r="F15" s="132"/>
      <c r="G15" s="132"/>
      <c r="H15" s="132"/>
      <c r="M15" s="156" t="s">
        <v>119</v>
      </c>
      <c r="N15" s="158">
        <v>877</v>
      </c>
      <c r="O15" s="159">
        <v>295</v>
      </c>
      <c r="P15" s="159">
        <v>0</v>
      </c>
      <c r="Q15" s="159">
        <v>754</v>
      </c>
      <c r="R15" s="160">
        <v>564</v>
      </c>
    </row>
    <row r="16" spans="2:19" ht="15.6">
      <c r="B16" s="132"/>
      <c r="C16" s="132"/>
      <c r="D16" s="132"/>
      <c r="E16" s="132"/>
      <c r="F16" s="132"/>
      <c r="G16" s="132"/>
      <c r="H16" s="132"/>
      <c r="M16" s="156" t="s">
        <v>116</v>
      </c>
      <c r="N16" s="140">
        <v>255</v>
      </c>
      <c r="O16" s="141">
        <v>468</v>
      </c>
      <c r="P16" s="141">
        <v>754</v>
      </c>
      <c r="Q16" s="141">
        <v>0</v>
      </c>
      <c r="R16" s="161">
        <v>219</v>
      </c>
    </row>
    <row r="17" spans="2:22" ht="16.2" thickBot="1">
      <c r="B17" s="132"/>
      <c r="C17" s="132"/>
      <c r="D17" s="132"/>
      <c r="E17" s="132"/>
      <c r="F17" s="132"/>
      <c r="G17" s="132"/>
      <c r="H17" s="132"/>
      <c r="M17" s="162" t="s">
        <v>117</v>
      </c>
      <c r="N17" s="163">
        <v>412</v>
      </c>
      <c r="O17" s="164">
        <v>268</v>
      </c>
      <c r="P17" s="164">
        <v>564</v>
      </c>
      <c r="Q17" s="165">
        <v>219</v>
      </c>
      <c r="R17" s="166">
        <v>0</v>
      </c>
    </row>
    <row r="19" spans="2:22" ht="15" thickBot="1">
      <c r="R19"/>
      <c r="S19"/>
      <c r="T19"/>
      <c r="U19"/>
      <c r="V19"/>
    </row>
    <row r="20" spans="2:22" ht="15" thickBot="1">
      <c r="C20" s="148" t="s">
        <v>92</v>
      </c>
      <c r="D20" s="149" t="s">
        <v>113</v>
      </c>
      <c r="E20" s="150" t="s">
        <v>114</v>
      </c>
      <c r="F20" s="150" t="s">
        <v>120</v>
      </c>
      <c r="G20" s="150" t="s">
        <v>121</v>
      </c>
      <c r="I20" s="148" t="s">
        <v>92</v>
      </c>
      <c r="J20" s="149" t="s">
        <v>122</v>
      </c>
      <c r="K20" s="150" t="s">
        <v>114</v>
      </c>
      <c r="L20" s="150" t="s">
        <v>120</v>
      </c>
      <c r="N20" s="148" t="s">
        <v>92</v>
      </c>
      <c r="O20" s="149" t="s">
        <v>122</v>
      </c>
      <c r="P20" s="150" t="s">
        <v>123</v>
      </c>
      <c r="R20"/>
      <c r="S20"/>
      <c r="T20"/>
      <c r="U20"/>
      <c r="V20"/>
    </row>
    <row r="21" spans="2:22">
      <c r="C21" s="152" t="s">
        <v>113</v>
      </c>
      <c r="D21" s="153">
        <v>0</v>
      </c>
      <c r="E21" s="154">
        <v>662</v>
      </c>
      <c r="F21" s="154">
        <v>877</v>
      </c>
      <c r="G21" s="167">
        <v>255</v>
      </c>
      <c r="I21" s="152" t="s">
        <v>122</v>
      </c>
      <c r="J21" s="153">
        <v>0</v>
      </c>
      <c r="K21" s="154">
        <v>268</v>
      </c>
      <c r="L21" s="154">
        <v>564</v>
      </c>
      <c r="N21" s="152" t="s">
        <v>122</v>
      </c>
      <c r="O21" s="153">
        <v>0</v>
      </c>
      <c r="P21" s="154">
        <v>268</v>
      </c>
      <c r="R21"/>
      <c r="S21"/>
      <c r="T21"/>
      <c r="U21"/>
      <c r="V21"/>
    </row>
    <row r="22" spans="2:22">
      <c r="C22" s="156" t="s">
        <v>114</v>
      </c>
      <c r="D22" s="140">
        <v>662</v>
      </c>
      <c r="E22" s="141">
        <v>0</v>
      </c>
      <c r="F22" s="141">
        <v>295</v>
      </c>
      <c r="G22" s="141">
        <v>268</v>
      </c>
      <c r="I22" s="156" t="s">
        <v>114</v>
      </c>
      <c r="J22" s="140">
        <v>268</v>
      </c>
      <c r="K22" s="141">
        <v>0</v>
      </c>
      <c r="L22" s="168">
        <v>295</v>
      </c>
      <c r="N22" s="156" t="s">
        <v>123</v>
      </c>
      <c r="O22" s="140">
        <v>268</v>
      </c>
      <c r="P22" s="141">
        <v>0</v>
      </c>
      <c r="R22"/>
      <c r="S22"/>
      <c r="T22"/>
      <c r="U22"/>
      <c r="V22"/>
    </row>
    <row r="23" spans="2:22">
      <c r="C23" s="156" t="s">
        <v>120</v>
      </c>
      <c r="D23" s="158">
        <v>877</v>
      </c>
      <c r="E23" s="159">
        <v>295</v>
      </c>
      <c r="F23" s="159">
        <v>0</v>
      </c>
      <c r="G23" s="159">
        <v>564</v>
      </c>
      <c r="I23" s="156" t="s">
        <v>120</v>
      </c>
      <c r="J23" s="158">
        <v>564</v>
      </c>
      <c r="K23" s="169">
        <v>295</v>
      </c>
      <c r="L23" s="159">
        <v>0</v>
      </c>
      <c r="R23"/>
      <c r="S23"/>
      <c r="T23"/>
      <c r="U23"/>
      <c r="V23"/>
    </row>
    <row r="24" spans="2:22">
      <c r="C24" s="156" t="s">
        <v>121</v>
      </c>
      <c r="D24" s="170">
        <v>255</v>
      </c>
      <c r="E24" s="141">
        <v>268</v>
      </c>
      <c r="F24" s="141">
        <v>564</v>
      </c>
      <c r="G24" s="141">
        <v>0</v>
      </c>
    </row>
    <row r="26" spans="2:22">
      <c r="D26" s="171" t="s">
        <v>124</v>
      </c>
    </row>
    <row r="27" spans="2:22">
      <c r="D27" s="171" t="s">
        <v>125</v>
      </c>
    </row>
    <row r="28" spans="2:22">
      <c r="D28" s="171" t="s">
        <v>126</v>
      </c>
    </row>
    <row r="29" spans="2:22">
      <c r="D29" s="171" t="s">
        <v>127</v>
      </c>
    </row>
    <row r="30" spans="2:22">
      <c r="D30" s="171" t="s">
        <v>128</v>
      </c>
    </row>
    <row r="31" spans="2:22">
      <c r="D31" s="171" t="s">
        <v>129</v>
      </c>
    </row>
  </sheetData>
  <mergeCells count="1">
    <mergeCell ref="B1:L1"/>
  </mergeCell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0824-FB90-42F9-8570-366682AA7191}">
  <dimension ref="B1:O32"/>
  <sheetViews>
    <sheetView tabSelected="1" zoomScaleNormal="100" workbookViewId="0"/>
  </sheetViews>
  <sheetFormatPr defaultRowHeight="14.4"/>
  <cols>
    <col min="1" max="16384" width="8.88671875" style="1"/>
  </cols>
  <sheetData>
    <row r="1" spans="2:15" ht="15" thickBot="1">
      <c r="O1" s="1" t="s">
        <v>202</v>
      </c>
    </row>
    <row r="2" spans="2:15" ht="15" thickBot="1">
      <c r="C2" s="306" t="s">
        <v>130</v>
      </c>
      <c r="D2" s="307"/>
      <c r="E2" s="307"/>
      <c r="F2" s="307"/>
      <c r="G2" s="307"/>
      <c r="H2" s="307"/>
      <c r="I2" s="307"/>
      <c r="J2" s="307"/>
      <c r="K2" s="308"/>
      <c r="O2" s="1" t="s">
        <v>203</v>
      </c>
    </row>
    <row r="3" spans="2:15" ht="15" thickBot="1">
      <c r="C3" s="123" t="s">
        <v>131</v>
      </c>
      <c r="D3" s="124" t="s">
        <v>132</v>
      </c>
      <c r="E3" s="188">
        <v>0.99</v>
      </c>
      <c r="F3" s="125">
        <v>0.98</v>
      </c>
      <c r="G3" s="125">
        <v>0.95</v>
      </c>
      <c r="H3" s="125">
        <v>0.1</v>
      </c>
      <c r="I3" s="125">
        <v>0.05</v>
      </c>
      <c r="J3" s="189">
        <v>0.02</v>
      </c>
      <c r="K3" s="124">
        <v>0.01</v>
      </c>
      <c r="L3" s="104">
        <v>0.97</v>
      </c>
      <c r="N3" s="1">
        <v>0.99</v>
      </c>
      <c r="O3" s="1" t="s">
        <v>204</v>
      </c>
    </row>
    <row r="4" spans="2:15">
      <c r="B4" s="1">
        <v>1</v>
      </c>
      <c r="C4" s="190">
        <v>1</v>
      </c>
      <c r="D4" s="127">
        <v>0.95</v>
      </c>
      <c r="E4" s="191">
        <f>IF($D4&gt;=E$3,1,0)</f>
        <v>0</v>
      </c>
      <c r="F4" s="192">
        <f t="shared" ref="F4:K4" si="0">IF($D4&gt;=F$3,1,0)</f>
        <v>0</v>
      </c>
      <c r="G4" s="192">
        <f t="shared" si="0"/>
        <v>1</v>
      </c>
      <c r="H4" s="192">
        <f t="shared" si="0"/>
        <v>1</v>
      </c>
      <c r="I4" s="192">
        <f t="shared" si="0"/>
        <v>1</v>
      </c>
      <c r="J4" s="192">
        <f t="shared" si="0"/>
        <v>1</v>
      </c>
      <c r="K4" s="45">
        <f t="shared" si="0"/>
        <v>1</v>
      </c>
      <c r="L4" s="193">
        <f>IF($D4&gt;=L$3,1,0)</f>
        <v>0</v>
      </c>
      <c r="N4" s="1">
        <v>0.98</v>
      </c>
      <c r="O4" s="1" t="s">
        <v>205</v>
      </c>
    </row>
    <row r="5" spans="2:15">
      <c r="B5" s="1">
        <v>2</v>
      </c>
      <c r="C5" s="194">
        <v>0</v>
      </c>
      <c r="D5" s="129">
        <v>0.1</v>
      </c>
      <c r="E5" s="88">
        <f t="shared" ref="E5:L14" si="1">IF($D5&gt;=E$3,1,0)</f>
        <v>0</v>
      </c>
      <c r="F5" s="195">
        <f t="shared" si="1"/>
        <v>0</v>
      </c>
      <c r="G5" s="195">
        <f t="shared" si="1"/>
        <v>0</v>
      </c>
      <c r="H5" s="195">
        <f t="shared" si="1"/>
        <v>1</v>
      </c>
      <c r="I5" s="195">
        <f t="shared" si="1"/>
        <v>1</v>
      </c>
      <c r="J5" s="195">
        <f t="shared" si="1"/>
        <v>1</v>
      </c>
      <c r="K5" s="52">
        <f t="shared" si="1"/>
        <v>1</v>
      </c>
      <c r="L5" s="193">
        <f t="shared" si="1"/>
        <v>0</v>
      </c>
      <c r="N5" s="1">
        <v>0.97</v>
      </c>
      <c r="O5" s="1" t="s">
        <v>206</v>
      </c>
    </row>
    <row r="6" spans="2:15">
      <c r="B6" s="1">
        <v>3</v>
      </c>
      <c r="C6" s="194">
        <v>1</v>
      </c>
      <c r="D6" s="129">
        <v>0.1</v>
      </c>
      <c r="E6" s="88">
        <f t="shared" si="1"/>
        <v>0</v>
      </c>
      <c r="F6" s="195">
        <f t="shared" si="1"/>
        <v>0</v>
      </c>
      <c r="G6" s="195">
        <f t="shared" si="1"/>
        <v>0</v>
      </c>
      <c r="H6" s="195">
        <f t="shared" si="1"/>
        <v>1</v>
      </c>
      <c r="I6" s="195">
        <f t="shared" si="1"/>
        <v>1</v>
      </c>
      <c r="J6" s="195">
        <f t="shared" si="1"/>
        <v>1</v>
      </c>
      <c r="K6" s="52">
        <f t="shared" si="1"/>
        <v>1</v>
      </c>
      <c r="L6" s="193">
        <f t="shared" si="1"/>
        <v>0</v>
      </c>
      <c r="N6" s="1">
        <v>0.95</v>
      </c>
    </row>
    <row r="7" spans="2:15">
      <c r="B7" s="1">
        <v>4</v>
      </c>
      <c r="C7" s="194">
        <v>1</v>
      </c>
      <c r="D7" s="129">
        <v>0.99</v>
      </c>
      <c r="E7" s="88">
        <f t="shared" si="1"/>
        <v>1</v>
      </c>
      <c r="F7" s="195">
        <f t="shared" si="1"/>
        <v>1</v>
      </c>
      <c r="G7" s="195">
        <f t="shared" si="1"/>
        <v>1</v>
      </c>
      <c r="H7" s="195">
        <f t="shared" si="1"/>
        <v>1</v>
      </c>
      <c r="I7" s="195">
        <f t="shared" si="1"/>
        <v>1</v>
      </c>
      <c r="J7" s="195">
        <f t="shared" si="1"/>
        <v>1</v>
      </c>
      <c r="K7" s="52">
        <f t="shared" si="1"/>
        <v>1</v>
      </c>
      <c r="L7" s="193">
        <f t="shared" si="1"/>
        <v>1</v>
      </c>
      <c r="N7" s="1">
        <v>0.1</v>
      </c>
    </row>
    <row r="8" spans="2:15">
      <c r="B8" s="1">
        <v>5</v>
      </c>
      <c r="C8" s="194">
        <v>0</v>
      </c>
      <c r="D8" s="129">
        <v>0.98</v>
      </c>
      <c r="E8" s="88">
        <f t="shared" si="1"/>
        <v>0</v>
      </c>
      <c r="F8" s="195">
        <f t="shared" si="1"/>
        <v>1</v>
      </c>
      <c r="G8" s="195">
        <f t="shared" si="1"/>
        <v>1</v>
      </c>
      <c r="H8" s="195">
        <f t="shared" si="1"/>
        <v>1</v>
      </c>
      <c r="I8" s="195">
        <f t="shared" si="1"/>
        <v>1</v>
      </c>
      <c r="J8" s="195">
        <f t="shared" si="1"/>
        <v>1</v>
      </c>
      <c r="K8" s="52">
        <f t="shared" si="1"/>
        <v>1</v>
      </c>
      <c r="L8" s="193">
        <f t="shared" si="1"/>
        <v>1</v>
      </c>
      <c r="N8" s="1">
        <v>0.05</v>
      </c>
    </row>
    <row r="9" spans="2:15">
      <c r="B9" s="1">
        <v>6</v>
      </c>
      <c r="C9" s="194">
        <v>0</v>
      </c>
      <c r="D9" s="129">
        <v>0.01</v>
      </c>
      <c r="E9" s="88">
        <f t="shared" si="1"/>
        <v>0</v>
      </c>
      <c r="F9" s="195">
        <f t="shared" si="1"/>
        <v>0</v>
      </c>
      <c r="G9" s="195">
        <f t="shared" si="1"/>
        <v>0</v>
      </c>
      <c r="H9" s="195">
        <f t="shared" si="1"/>
        <v>0</v>
      </c>
      <c r="I9" s="195">
        <f t="shared" si="1"/>
        <v>0</v>
      </c>
      <c r="J9" s="195">
        <f t="shared" si="1"/>
        <v>0</v>
      </c>
      <c r="K9" s="52">
        <f t="shared" si="1"/>
        <v>1</v>
      </c>
      <c r="L9" s="193">
        <f t="shared" si="1"/>
        <v>0</v>
      </c>
      <c r="N9" s="1">
        <v>0.02</v>
      </c>
    </row>
    <row r="10" spans="2:15">
      <c r="B10" s="1">
        <v>7</v>
      </c>
      <c r="C10" s="194">
        <v>1</v>
      </c>
      <c r="D10" s="129">
        <v>0.02</v>
      </c>
      <c r="E10" s="88">
        <f t="shared" si="1"/>
        <v>0</v>
      </c>
      <c r="F10" s="195">
        <f t="shared" si="1"/>
        <v>0</v>
      </c>
      <c r="G10" s="195">
        <f t="shared" si="1"/>
        <v>0</v>
      </c>
      <c r="H10" s="195">
        <f t="shared" si="1"/>
        <v>0</v>
      </c>
      <c r="I10" s="195">
        <f t="shared" si="1"/>
        <v>0</v>
      </c>
      <c r="J10" s="195">
        <f t="shared" si="1"/>
        <v>1</v>
      </c>
      <c r="K10" s="52">
        <f t="shared" si="1"/>
        <v>1</v>
      </c>
      <c r="L10" s="193">
        <f t="shared" si="1"/>
        <v>0</v>
      </c>
      <c r="N10" s="1">
        <v>0.01</v>
      </c>
    </row>
    <row r="11" spans="2:15">
      <c r="B11" s="1">
        <v>8</v>
      </c>
      <c r="C11" s="194">
        <v>0</v>
      </c>
      <c r="D11" s="129">
        <v>0.01</v>
      </c>
      <c r="E11" s="88">
        <f t="shared" si="1"/>
        <v>0</v>
      </c>
      <c r="F11" s="195">
        <f t="shared" si="1"/>
        <v>0</v>
      </c>
      <c r="G11" s="195">
        <f t="shared" si="1"/>
        <v>0</v>
      </c>
      <c r="H11" s="195">
        <f t="shared" si="1"/>
        <v>0</v>
      </c>
      <c r="I11" s="195">
        <f t="shared" si="1"/>
        <v>0</v>
      </c>
      <c r="J11" s="195">
        <f t="shared" si="1"/>
        <v>0</v>
      </c>
      <c r="K11" s="52">
        <f t="shared" si="1"/>
        <v>1</v>
      </c>
      <c r="L11" s="193">
        <f t="shared" si="1"/>
        <v>0</v>
      </c>
    </row>
    <row r="12" spans="2:15">
      <c r="B12" s="1">
        <v>9</v>
      </c>
      <c r="C12" s="194">
        <v>0</v>
      </c>
      <c r="D12" s="129">
        <v>0.01</v>
      </c>
      <c r="E12" s="88">
        <f t="shared" si="1"/>
        <v>0</v>
      </c>
      <c r="F12" s="195">
        <f t="shared" si="1"/>
        <v>0</v>
      </c>
      <c r="G12" s="195">
        <f t="shared" si="1"/>
        <v>0</v>
      </c>
      <c r="H12" s="195">
        <f t="shared" si="1"/>
        <v>0</v>
      </c>
      <c r="I12" s="195">
        <f t="shared" si="1"/>
        <v>0</v>
      </c>
      <c r="J12" s="195">
        <f t="shared" si="1"/>
        <v>0</v>
      </c>
      <c r="K12" s="52">
        <f t="shared" si="1"/>
        <v>1</v>
      </c>
      <c r="L12" s="193">
        <f t="shared" si="1"/>
        <v>0</v>
      </c>
    </row>
    <row r="13" spans="2:15">
      <c r="B13" s="1">
        <v>10</v>
      </c>
      <c r="C13" s="194">
        <v>1</v>
      </c>
      <c r="D13" s="129">
        <v>0.97</v>
      </c>
      <c r="E13" s="88">
        <f t="shared" si="1"/>
        <v>0</v>
      </c>
      <c r="F13" s="195">
        <f t="shared" si="1"/>
        <v>0</v>
      </c>
      <c r="G13" s="195">
        <f t="shared" si="1"/>
        <v>1</v>
      </c>
      <c r="H13" s="195">
        <f t="shared" si="1"/>
        <v>1</v>
      </c>
      <c r="I13" s="195">
        <f t="shared" si="1"/>
        <v>1</v>
      </c>
      <c r="J13" s="195">
        <f t="shared" si="1"/>
        <v>1</v>
      </c>
      <c r="K13" s="52">
        <f t="shared" si="1"/>
        <v>1</v>
      </c>
      <c r="L13" s="193">
        <f t="shared" si="1"/>
        <v>1</v>
      </c>
    </row>
    <row r="14" spans="2:15" ht="15" thickBot="1">
      <c r="B14" s="1">
        <v>11</v>
      </c>
      <c r="C14" s="196">
        <v>0</v>
      </c>
      <c r="D14" s="131">
        <v>0.05</v>
      </c>
      <c r="E14" s="197">
        <f t="shared" si="1"/>
        <v>0</v>
      </c>
      <c r="F14" s="198">
        <f t="shared" si="1"/>
        <v>0</v>
      </c>
      <c r="G14" s="198">
        <f t="shared" si="1"/>
        <v>0</v>
      </c>
      <c r="H14" s="198">
        <f t="shared" si="1"/>
        <v>0</v>
      </c>
      <c r="I14" s="198">
        <f t="shared" si="1"/>
        <v>1</v>
      </c>
      <c r="J14" s="198">
        <f t="shared" si="1"/>
        <v>1</v>
      </c>
      <c r="K14" s="60">
        <f t="shared" si="1"/>
        <v>1</v>
      </c>
      <c r="L14" s="193">
        <f t="shared" si="1"/>
        <v>0</v>
      </c>
    </row>
    <row r="15" spans="2:15">
      <c r="C15" s="42" t="s">
        <v>133</v>
      </c>
      <c r="D15" s="42" t="s">
        <v>134</v>
      </c>
      <c r="E15" s="85">
        <f>COUNTIFS($C$4:$C$14,0,E$4:E$14,1)/COUNTIF($C$4:$C$14,0)</f>
        <v>0</v>
      </c>
      <c r="F15" s="199">
        <f>COUNTIFS($C$4:$C$14,0,F$4:F$14,1)/COUNTIF($C$4:$C$14,0)</f>
        <v>0.16666666666666666</v>
      </c>
      <c r="G15" s="199">
        <f t="shared" ref="G15:L15" si="2">COUNTIFS($C$4:$C$14,0,G$4:G$14,1)/COUNTIF($C$4:$C$14,0)</f>
        <v>0.16666666666666666</v>
      </c>
      <c r="H15" s="199">
        <f t="shared" si="2"/>
        <v>0.33333333333333331</v>
      </c>
      <c r="I15" s="199">
        <f t="shared" si="2"/>
        <v>0.5</v>
      </c>
      <c r="J15" s="199">
        <f t="shared" si="2"/>
        <v>0.5</v>
      </c>
      <c r="K15" s="200">
        <f t="shared" si="2"/>
        <v>1</v>
      </c>
      <c r="L15" s="201">
        <f t="shared" si="2"/>
        <v>0.16666666666666666</v>
      </c>
    </row>
    <row r="16" spans="2:15" ht="15" thickBot="1">
      <c r="C16" s="57" t="s">
        <v>135</v>
      </c>
      <c r="D16" s="57" t="s">
        <v>136</v>
      </c>
      <c r="E16" s="202">
        <f>COUNTIFS($C$4:$C$14,1,E$4:E$14,1)/COUNTIF($C$4:$C$14,1)</f>
        <v>0.2</v>
      </c>
      <c r="F16" s="203">
        <f t="shared" ref="F16:L16" si="3">COUNTIFS($C$4:$C$14,1,F$4:F$14,1)/COUNTIF($C$4:$C$14,1)</f>
        <v>0.2</v>
      </c>
      <c r="G16" s="203">
        <f t="shared" si="3"/>
        <v>0.6</v>
      </c>
      <c r="H16" s="203">
        <f t="shared" si="3"/>
        <v>0.8</v>
      </c>
      <c r="I16" s="203">
        <f>COUNTIFS($C$4:$C$14,1,I$4:I$14,1)/COUNTIF($C$4:$C$14,1)</f>
        <v>0.8</v>
      </c>
      <c r="J16" s="203">
        <f t="shared" si="3"/>
        <v>1</v>
      </c>
      <c r="K16" s="131">
        <f t="shared" si="3"/>
        <v>1</v>
      </c>
      <c r="L16" s="204">
        <f t="shared" si="3"/>
        <v>0.4</v>
      </c>
    </row>
    <row r="17" spans="3:12" ht="15" thickBot="1">
      <c r="C17" s="309" t="s">
        <v>137</v>
      </c>
      <c r="D17" s="310"/>
      <c r="E17" s="205">
        <f>E16-E15</f>
        <v>0.2</v>
      </c>
      <c r="F17" s="206">
        <f t="shared" ref="F17:L17" si="4">F16-F15</f>
        <v>3.3333333333333354E-2</v>
      </c>
      <c r="G17" s="206">
        <f t="shared" si="4"/>
        <v>0.43333333333333335</v>
      </c>
      <c r="H17" s="206">
        <f t="shared" si="4"/>
        <v>0.46666666666666673</v>
      </c>
      <c r="I17" s="206">
        <f t="shared" si="4"/>
        <v>0.30000000000000004</v>
      </c>
      <c r="J17" s="207">
        <f t="shared" si="4"/>
        <v>0.5</v>
      </c>
      <c r="K17" s="208">
        <f t="shared" si="4"/>
        <v>0</v>
      </c>
      <c r="L17" s="209">
        <f t="shared" si="4"/>
        <v>0.23333333333333336</v>
      </c>
    </row>
    <row r="18" spans="3:12">
      <c r="C18" s="42" t="s">
        <v>133</v>
      </c>
      <c r="D18" s="311" t="s">
        <v>138</v>
      </c>
      <c r="E18" s="312"/>
      <c r="F18" s="312"/>
      <c r="G18" s="312"/>
      <c r="H18" s="312"/>
      <c r="I18" s="312"/>
      <c r="J18" s="312"/>
      <c r="K18" s="313"/>
    </row>
    <row r="19" spans="3:12" ht="15" thickBot="1">
      <c r="C19" s="57" t="s">
        <v>135</v>
      </c>
      <c r="D19" s="314" t="s">
        <v>139</v>
      </c>
      <c r="E19" s="315"/>
      <c r="F19" s="315"/>
      <c r="G19" s="315"/>
      <c r="H19" s="315"/>
      <c r="I19" s="315"/>
      <c r="J19" s="315"/>
      <c r="K19" s="316"/>
    </row>
    <row r="21" spans="3:12">
      <c r="D21" s="1" t="s">
        <v>140</v>
      </c>
    </row>
    <row r="22" spans="3:12">
      <c r="D22" s="1" t="s">
        <v>141</v>
      </c>
    </row>
    <row r="23" spans="3:12">
      <c r="D23" s="1" t="s">
        <v>142</v>
      </c>
    </row>
    <row r="24" spans="3:12" ht="15" thickBot="1"/>
    <row r="25" spans="3:12" ht="15" thickBot="1">
      <c r="D25" s="210" t="s">
        <v>143</v>
      </c>
      <c r="E25" s="211" t="s">
        <v>144</v>
      </c>
      <c r="F25" s="212" t="s">
        <v>145</v>
      </c>
      <c r="G25" s="213" t="s">
        <v>146</v>
      </c>
      <c r="H25" s="211" t="s">
        <v>147</v>
      </c>
      <c r="I25" s="214" t="s">
        <v>148</v>
      </c>
      <c r="J25" s="215" t="s">
        <v>149</v>
      </c>
    </row>
    <row r="26" spans="3:12">
      <c r="D26" s="126">
        <f>COUNTIFS($C$4:$C$14,0,E$4:E$14,1)/COUNTIF($C$4:$C$14,0)</f>
        <v>0</v>
      </c>
      <c r="E26" s="216">
        <f>D27</f>
        <v>0.16666666666666666</v>
      </c>
      <c r="F26" s="127">
        <f>ABS(E26-D26)</f>
        <v>0.16666666666666666</v>
      </c>
      <c r="G26" s="217">
        <f>COUNTIFS($C$4:$C$14,1,E$4:E$14,1)/COUNTIF($C$4:$C$14,1)</f>
        <v>0.2</v>
      </c>
      <c r="H26" s="216">
        <f>G27</f>
        <v>0.2</v>
      </c>
      <c r="I26" s="218">
        <f>ABS(H26-G26)</f>
        <v>0</v>
      </c>
      <c r="J26" s="267">
        <f>F26*G26+0.5*(F26*I26)</f>
        <v>3.3333333333333333E-2</v>
      </c>
    </row>
    <row r="27" spans="3:12">
      <c r="D27" s="128">
        <f>COUNTIFS($C$4:$C$14,0,F$4:F$14,1)/COUNTIF($C$4:$C$14,0)</f>
        <v>0.16666666666666666</v>
      </c>
      <c r="E27" s="219">
        <f t="shared" ref="E27:E31" si="5">D28</f>
        <v>0.16666666666666666</v>
      </c>
      <c r="F27" s="129">
        <f t="shared" ref="F27:F31" si="6">ABS(E27-D27)</f>
        <v>0</v>
      </c>
      <c r="G27" s="101">
        <f>COUNTIFS($C$4:$C$14,1,F$4:F$14,1)/COUNTIF($C$4:$C$14,1)</f>
        <v>0.2</v>
      </c>
      <c r="H27" s="219">
        <f>G28</f>
        <v>0.6</v>
      </c>
      <c r="I27" s="220">
        <f t="shared" ref="I27:I31" si="7">ABS(H27-G27)</f>
        <v>0.39999999999999997</v>
      </c>
      <c r="J27" s="268">
        <f t="shared" ref="J27:J31" si="8">F27*G27+0.5*(F27*I27)</f>
        <v>0</v>
      </c>
    </row>
    <row r="28" spans="3:12">
      <c r="D28" s="128">
        <f>COUNTIFS($C$4:$C$14,0,G$4:G$14,1)/COUNTIF($C$4:$C$14,0)</f>
        <v>0.16666666666666666</v>
      </c>
      <c r="E28" s="219">
        <f t="shared" si="5"/>
        <v>0.33333333333333331</v>
      </c>
      <c r="F28" s="129">
        <f t="shared" si="6"/>
        <v>0.16666666666666666</v>
      </c>
      <c r="G28" s="101">
        <f>COUNTIFS($C$4:$C$14,1,G$4:G$14,1)/COUNTIF($C$4:$C$14,1)</f>
        <v>0.6</v>
      </c>
      <c r="H28" s="219">
        <f t="shared" ref="H28:H31" si="9">G29</f>
        <v>0.8</v>
      </c>
      <c r="I28" s="220">
        <f t="shared" si="7"/>
        <v>0.20000000000000007</v>
      </c>
      <c r="J28" s="268">
        <f t="shared" si="8"/>
        <v>0.11666666666666667</v>
      </c>
    </row>
    <row r="29" spans="3:12">
      <c r="D29" s="128">
        <f>COUNTIFS($C$4:$C$14,0,H$4:H$14,1)/COUNTIF($C$4:$C$14,0)</f>
        <v>0.33333333333333331</v>
      </c>
      <c r="E29" s="219">
        <f t="shared" si="5"/>
        <v>0.5</v>
      </c>
      <c r="F29" s="129">
        <f t="shared" si="6"/>
        <v>0.16666666666666669</v>
      </c>
      <c r="G29" s="101">
        <f>COUNTIFS($C$4:$C$14,1,H$4:H$14,1)/COUNTIF($C$4:$C$14,1)</f>
        <v>0.8</v>
      </c>
      <c r="H29" s="219">
        <f t="shared" si="9"/>
        <v>0.8</v>
      </c>
      <c r="I29" s="220">
        <f t="shared" si="7"/>
        <v>0</v>
      </c>
      <c r="J29" s="268">
        <f t="shared" si="8"/>
        <v>0.13333333333333336</v>
      </c>
    </row>
    <row r="30" spans="3:12">
      <c r="D30" s="128">
        <f>COUNTIFS($C$4:$C$14,0,I$4:I$14,1)/COUNTIF($C$4:$C$14,0)</f>
        <v>0.5</v>
      </c>
      <c r="E30" s="219">
        <f t="shared" si="5"/>
        <v>0.5</v>
      </c>
      <c r="F30" s="129">
        <f t="shared" si="6"/>
        <v>0</v>
      </c>
      <c r="G30" s="101">
        <f>COUNTIFS($C$4:$C$14,1,I$4:I$14,1)/COUNTIF($C$4:$C$14,1)</f>
        <v>0.8</v>
      </c>
      <c r="H30" s="219">
        <f t="shared" si="9"/>
        <v>1</v>
      </c>
      <c r="I30" s="220">
        <f t="shared" si="7"/>
        <v>0.19999999999999996</v>
      </c>
      <c r="J30" s="268">
        <f t="shared" si="8"/>
        <v>0</v>
      </c>
    </row>
    <row r="31" spans="3:12" ht="15" thickBot="1">
      <c r="D31" s="130">
        <f>COUNTIFS($C$4:$C$14,0,J$4:J$14,1)/COUNTIF($C$4:$C$14,0)</f>
        <v>0.5</v>
      </c>
      <c r="E31" s="203">
        <f t="shared" si="5"/>
        <v>1</v>
      </c>
      <c r="F31" s="131">
        <f t="shared" si="6"/>
        <v>0.5</v>
      </c>
      <c r="G31" s="202">
        <f>COUNTIFS($C$4:$C$14,1,J$4:J$14,1)/COUNTIF($C$4:$C$14,1)</f>
        <v>1</v>
      </c>
      <c r="H31" s="203">
        <f t="shared" si="9"/>
        <v>1</v>
      </c>
      <c r="I31" s="221">
        <f t="shared" si="7"/>
        <v>0</v>
      </c>
      <c r="J31" s="269">
        <f t="shared" si="8"/>
        <v>0.5</v>
      </c>
    </row>
    <row r="32" spans="3:12" ht="15" thickBot="1">
      <c r="D32" s="108">
        <v>1</v>
      </c>
      <c r="G32" s="108">
        <v>1</v>
      </c>
      <c r="J32" s="270">
        <f>SUM(J26:J31)</f>
        <v>0.78333333333333333</v>
      </c>
      <c r="K32" s="104" t="s">
        <v>150</v>
      </c>
    </row>
  </sheetData>
  <mergeCells count="4">
    <mergeCell ref="C2:K2"/>
    <mergeCell ref="C17:D17"/>
    <mergeCell ref="D18:K18"/>
    <mergeCell ref="D19:K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Forecast Sheet</vt:lpstr>
      <vt:lpstr>Forecase Sheet (Output-1)</vt:lpstr>
      <vt:lpstr>Forecast Sheet (Output-2)</vt:lpstr>
      <vt:lpstr>Correlation &amp; Regression-1</vt:lpstr>
      <vt:lpstr>Correlation &amp; Regression-1 (2)</vt:lpstr>
      <vt:lpstr>Correlation &amp; Regression-2</vt:lpstr>
      <vt:lpstr>Correlation &amp; Regression-2 (2)</vt:lpstr>
      <vt:lpstr>Decision Tree</vt:lpstr>
      <vt:lpstr>K-NN</vt:lpstr>
      <vt:lpstr>K-NN (2)</vt:lpstr>
      <vt:lpstr>K-NN (Iris)</vt:lpstr>
      <vt:lpstr>K-NN (Iris) (2)</vt:lpstr>
      <vt:lpstr>K-Means Clustering</vt:lpstr>
      <vt:lpstr>K-Means Clustering (2)</vt:lpstr>
      <vt:lpstr>Hierarchical Clustering </vt:lpstr>
      <vt:lpstr>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Chakraborty</dc:creator>
  <cp:lastModifiedBy>Arnab Chakraborty</cp:lastModifiedBy>
  <dcterms:created xsi:type="dcterms:W3CDTF">2025-08-02T11:24:56Z</dcterms:created>
  <dcterms:modified xsi:type="dcterms:W3CDTF">2026-08-29T10:35:56Z</dcterms:modified>
</cp:coreProperties>
</file>