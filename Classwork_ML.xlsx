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 Backup\2GITHUB\AEC_ML_Batch_2_August_2026\"/>
    </mc:Choice>
  </mc:AlternateContent>
  <xr:revisionPtr revIDLastSave="0" documentId="13_ncr:1_{5285ADC8-6D9A-4FD6-9163-ECCA193DFA3B}" xr6:coauthVersionLast="47" xr6:coauthVersionMax="47" xr10:uidLastSave="{00000000-0000-0000-0000-000000000000}"/>
  <bookViews>
    <workbookView xWindow="-108" yWindow="-108" windowWidth="23256" windowHeight="13896" tabRatio="823" firstSheet="7" activeTab="7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0" l="1"/>
  <c r="F3" i="10"/>
  <c r="G4" i="10"/>
  <c r="G5" i="10"/>
  <c r="G6" i="10"/>
  <c r="G7" i="10"/>
  <c r="G3" i="10"/>
  <c r="F4" i="10"/>
  <c r="F5" i="10"/>
  <c r="F6" i="10"/>
  <c r="F7" i="10"/>
  <c r="D11" i="10"/>
  <c r="D12" i="10"/>
  <c r="B21" i="11" l="1"/>
  <c r="G15" i="11"/>
  <c r="G16" i="11"/>
  <c r="G14" i="11"/>
  <c r="B20" i="11"/>
  <c r="B19" i="11"/>
  <c r="B18" i="11"/>
  <c r="B17" i="11"/>
  <c r="B16" i="11"/>
  <c r="B15" i="11"/>
  <c r="B14" i="11"/>
  <c r="B13" i="11"/>
  <c r="C11" i="11"/>
  <c r="D11" i="11"/>
  <c r="E11" i="11"/>
  <c r="F11" i="11"/>
  <c r="G11" i="11"/>
  <c r="E5" i="11"/>
  <c r="F5" i="11"/>
  <c r="G5" i="11"/>
  <c r="E6" i="11"/>
  <c r="F6" i="11"/>
  <c r="G6" i="11"/>
  <c r="E7" i="11"/>
  <c r="F7" i="11"/>
  <c r="G7" i="11"/>
  <c r="E8" i="11"/>
  <c r="F8" i="11"/>
  <c r="G8" i="11"/>
  <c r="E9" i="11"/>
  <c r="F9" i="11"/>
  <c r="G9" i="11"/>
  <c r="E10" i="11"/>
  <c r="F10" i="11"/>
  <c r="G10" i="11"/>
  <c r="G4" i="11"/>
  <c r="F4" i="11"/>
  <c r="E4" i="11"/>
  <c r="H15" i="12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I60" i="1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21" i="11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F21" i="15" l="1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4" i="12" l="1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2" i="1"/>
  <c r="N16" i="1"/>
</calcChain>
</file>

<file path=xl/sharedStrings.xml><?xml version="1.0" encoding="utf-8"?>
<sst xmlns="http://schemas.openxmlformats.org/spreadsheetml/2006/main" count="1065" uniqueCount="227">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</sst>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5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  <font>
      <b/>
      <sz val="10"/>
      <color rgb="FFC00000"/>
      <name val="Calibri"/>
      <family val="2"/>
      <scheme val="minor"/>
    </font>
    <font>
      <i/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2" fillId="0" borderId="0"/>
  </cellStyleXfs>
  <cellXfs count="317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1" fillId="0" borderId="0" xfId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4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4" fillId="0" borderId="5" xfId="1" applyFont="1" applyBorder="1" applyAlignment="1">
      <alignment horizontal="center"/>
    </xf>
    <xf numFmtId="0" fontId="2" fillId="2" borderId="1" xfId="1" applyFont="1" applyFill="1" applyBorder="1" applyAlignment="1">
      <alignment horizontal="left"/>
    </xf>
    <xf numFmtId="0" fontId="1" fillId="0" borderId="6" xfId="1" applyBorder="1" applyAlignment="1">
      <alignment horizontal="left"/>
    </xf>
    <xf numFmtId="0" fontId="1" fillId="2" borderId="7" xfId="1" applyFill="1" applyBorder="1" applyAlignment="1">
      <alignment horizontal="left"/>
    </xf>
    <xf numFmtId="0" fontId="2" fillId="0" borderId="8" xfId="1" applyFont="1" applyBorder="1" applyAlignment="1">
      <alignment horizontal="left"/>
    </xf>
    <xf numFmtId="0" fontId="1" fillId="0" borderId="9" xfId="1" applyBorder="1" applyAlignment="1">
      <alignment horizontal="left"/>
    </xf>
    <xf numFmtId="0" fontId="3" fillId="0" borderId="0" xfId="1" applyFont="1" applyAlignment="1">
      <alignment horizontal="left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8" xfId="1" applyFont="1" applyBorder="1"/>
    <xf numFmtId="0" fontId="2" fillId="2" borderId="1" xfId="1" applyFont="1" applyFill="1" applyBorder="1"/>
    <xf numFmtId="0" fontId="2" fillId="0" borderId="10" xfId="1" applyFont="1" applyBorder="1"/>
    <xf numFmtId="0" fontId="1" fillId="0" borderId="5" xfId="1" applyBorder="1" applyAlignment="1">
      <alignment horizontal="left"/>
    </xf>
    <xf numFmtId="0" fontId="1" fillId="0" borderId="4" xfId="1" applyBorder="1" applyAlignment="1">
      <alignment horizontal="left"/>
    </xf>
    <xf numFmtId="0" fontId="2" fillId="0" borderId="0" xfId="1" applyFont="1"/>
    <xf numFmtId="0" fontId="3" fillId="0" borderId="11" xfId="1" applyFont="1" applyBorder="1" applyAlignment="1">
      <alignment horizontal="center"/>
    </xf>
    <xf numFmtId="0" fontId="1" fillId="0" borderId="6" xfId="1" applyBorder="1"/>
    <xf numFmtId="0" fontId="1" fillId="0" borderId="7" xfId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0" borderId="5" xfId="1" applyBorder="1"/>
    <xf numFmtId="0" fontId="5" fillId="3" borderId="12" xfId="1" applyFont="1" applyFill="1" applyBorder="1" applyAlignment="1">
      <alignment vertical="center" wrapText="1"/>
    </xf>
    <xf numFmtId="0" fontId="6" fillId="3" borderId="12" xfId="1" applyFont="1" applyFill="1" applyBorder="1" applyAlignment="1">
      <alignment vertical="center" wrapText="1"/>
    </xf>
    <xf numFmtId="0" fontId="6" fillId="4" borderId="12" xfId="1" applyFont="1" applyFill="1" applyBorder="1" applyAlignment="1">
      <alignment vertical="center" wrapText="1"/>
    </xf>
    <xf numFmtId="0" fontId="8" fillId="0" borderId="0" xfId="1" applyFont="1" applyAlignment="1">
      <alignment horizontal="left" vertical="center" indent="2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 wrapText="1"/>
    </xf>
    <xf numFmtId="0" fontId="2" fillId="0" borderId="17" xfId="1" applyFont="1" applyBorder="1" applyAlignment="1">
      <alignment horizontal="center" vertical="center" wrapText="1"/>
    </xf>
    <xf numFmtId="0" fontId="1" fillId="0" borderId="18" xfId="1" applyBorder="1"/>
    <xf numFmtId="164" fontId="1" fillId="0" borderId="19" xfId="1" applyNumberFormat="1" applyBorder="1"/>
    <xf numFmtId="164" fontId="1" fillId="0" borderId="20" xfId="1" applyNumberFormat="1" applyBorder="1"/>
    <xf numFmtId="0" fontId="1" fillId="0" borderId="21" xfId="1" applyBorder="1"/>
    <xf numFmtId="165" fontId="1" fillId="0" borderId="18" xfId="1" applyNumberFormat="1" applyBorder="1"/>
    <xf numFmtId="0" fontId="1" fillId="0" borderId="22" xfId="1" applyBorder="1"/>
    <xf numFmtId="0" fontId="2" fillId="0" borderId="0" xfId="1" applyFont="1" applyAlignment="1">
      <alignment horizontal="center"/>
    </xf>
    <xf numFmtId="0" fontId="1" fillId="0" borderId="23" xfId="1" applyBorder="1"/>
    <xf numFmtId="164" fontId="1" fillId="0" borderId="24" xfId="1" applyNumberFormat="1" applyBorder="1"/>
    <xf numFmtId="164" fontId="1" fillId="0" borderId="12" xfId="1" applyNumberFormat="1" applyBorder="1"/>
    <xf numFmtId="0" fontId="1" fillId="0" borderId="25" xfId="1" applyBorder="1"/>
    <xf numFmtId="165" fontId="1" fillId="0" borderId="26" xfId="1" applyNumberFormat="1" applyBorder="1"/>
    <xf numFmtId="0" fontId="1" fillId="0" borderId="27" xfId="1" applyBorder="1"/>
    <xf numFmtId="164" fontId="1" fillId="0" borderId="0" xfId="1" applyNumberFormat="1"/>
    <xf numFmtId="0" fontId="12" fillId="0" borderId="0" xfId="2"/>
    <xf numFmtId="0" fontId="1" fillId="0" borderId="28" xfId="1" applyBorder="1"/>
    <xf numFmtId="164" fontId="1" fillId="0" borderId="29" xfId="1" applyNumberFormat="1" applyBorder="1"/>
    <xf numFmtId="164" fontId="1" fillId="0" borderId="30" xfId="1" applyNumberFormat="1" applyBorder="1"/>
    <xf numFmtId="0" fontId="1" fillId="0" borderId="31" xfId="1" applyBorder="1"/>
    <xf numFmtId="165" fontId="1" fillId="0" borderId="3" xfId="1" applyNumberFormat="1" applyBorder="1"/>
    <xf numFmtId="0" fontId="1" fillId="0" borderId="32" xfId="1" applyBorder="1"/>
    <xf numFmtId="0" fontId="2" fillId="0" borderId="33" xfId="1" applyFont="1" applyBorder="1" applyAlignment="1">
      <alignment horizontal="center" vertical="center"/>
    </xf>
    <xf numFmtId="0" fontId="2" fillId="5" borderId="14" xfId="1" applyFont="1" applyFill="1" applyBorder="1" applyAlignment="1">
      <alignment horizontal="center" vertical="center" wrapText="1"/>
    </xf>
    <xf numFmtId="0" fontId="2" fillId="5" borderId="16" xfId="1" applyFont="1" applyFill="1" applyBorder="1" applyAlignment="1">
      <alignment horizontal="center" vertical="center"/>
    </xf>
    <xf numFmtId="0" fontId="2" fillId="6" borderId="17" xfId="1" applyFont="1" applyFill="1" applyBorder="1" applyAlignment="1">
      <alignment horizontal="center" vertical="center" wrapText="1"/>
    </xf>
    <xf numFmtId="0" fontId="2" fillId="6" borderId="16" xfId="1" applyFont="1" applyFill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36" xfId="1" applyBorder="1"/>
    <xf numFmtId="165" fontId="1" fillId="0" borderId="37" xfId="1" applyNumberFormat="1" applyBorder="1"/>
    <xf numFmtId="0" fontId="1" fillId="0" borderId="28" xfId="1" applyBorder="1" applyAlignment="1">
      <alignment horizontal="center"/>
    </xf>
    <xf numFmtId="0" fontId="1" fillId="0" borderId="38" xfId="1" applyBorder="1"/>
    <xf numFmtId="165" fontId="1" fillId="0" borderId="39" xfId="1" applyNumberFormat="1" applyBorder="1"/>
    <xf numFmtId="0" fontId="2" fillId="0" borderId="40" xfId="1" applyFont="1" applyBorder="1" applyAlignment="1">
      <alignment horizontal="center" vertical="center" wrapText="1"/>
    </xf>
    <xf numFmtId="0" fontId="2" fillId="0" borderId="41" xfId="1" applyFont="1" applyBorder="1" applyAlignment="1">
      <alignment horizontal="center" vertical="center" wrapText="1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1" fillId="0" borderId="44" xfId="1" applyBorder="1"/>
    <xf numFmtId="164" fontId="1" fillId="0" borderId="45" xfId="1" applyNumberFormat="1" applyBorder="1"/>
    <xf numFmtId="164" fontId="1" fillId="0" borderId="46" xfId="1" applyNumberFormat="1" applyBorder="1"/>
    <xf numFmtId="0" fontId="1" fillId="0" borderId="47" xfId="1" applyBorder="1"/>
    <xf numFmtId="165" fontId="1" fillId="0" borderId="45" xfId="1" applyNumberFormat="1" applyBorder="1"/>
    <xf numFmtId="0" fontId="1" fillId="0" borderId="48" xfId="1" applyBorder="1"/>
    <xf numFmtId="2" fontId="1" fillId="0" borderId="49" xfId="1" applyNumberFormat="1" applyBorder="1"/>
    <xf numFmtId="0" fontId="1" fillId="0" borderId="50" xfId="1" applyBorder="1"/>
    <xf numFmtId="164" fontId="1" fillId="0" borderId="37" xfId="1" applyNumberFormat="1" applyBorder="1"/>
    <xf numFmtId="0" fontId="1" fillId="0" borderId="24" xfId="1" applyBorder="1"/>
    <xf numFmtId="0" fontId="2" fillId="0" borderId="15" xfId="1" applyFont="1" applyBorder="1" applyAlignment="1">
      <alignment horizontal="center" vertical="center" wrapText="1"/>
    </xf>
    <xf numFmtId="0" fontId="2" fillId="0" borderId="16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/>
    </xf>
    <xf numFmtId="0" fontId="1" fillId="0" borderId="51" xfId="1" applyBorder="1"/>
    <xf numFmtId="0" fontId="1" fillId="0" borderId="52" xfId="1" applyBorder="1"/>
    <xf numFmtId="0" fontId="1" fillId="0" borderId="53" xfId="1" applyBorder="1"/>
    <xf numFmtId="0" fontId="1" fillId="0" borderId="1" xfId="1" applyBorder="1"/>
    <xf numFmtId="0" fontId="1" fillId="0" borderId="54" xfId="1" applyBorder="1"/>
    <xf numFmtId="164" fontId="1" fillId="0" borderId="55" xfId="1" applyNumberFormat="1" applyBorder="1"/>
    <xf numFmtId="164" fontId="1" fillId="0" borderId="56" xfId="1" applyNumberFormat="1" applyBorder="1"/>
    <xf numFmtId="0" fontId="1" fillId="0" borderId="57" xfId="1" applyBorder="1"/>
    <xf numFmtId="0" fontId="1" fillId="0" borderId="58" xfId="1" applyBorder="1"/>
    <xf numFmtId="2" fontId="1" fillId="0" borderId="24" xfId="1" applyNumberFormat="1" applyBorder="1"/>
    <xf numFmtId="2" fontId="1" fillId="0" borderId="58" xfId="1" applyNumberFormat="1" applyBorder="1"/>
    <xf numFmtId="0" fontId="2" fillId="0" borderId="60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1" fillId="0" borderId="61" xfId="1" applyBorder="1" applyAlignment="1">
      <alignment horizontal="center"/>
    </xf>
    <xf numFmtId="2" fontId="1" fillId="0" borderId="8" xfId="1" applyNumberFormat="1" applyBorder="1"/>
    <xf numFmtId="2" fontId="1" fillId="0" borderId="0" xfId="1" applyNumberFormat="1"/>
    <xf numFmtId="0" fontId="1" fillId="0" borderId="3" xfId="1" applyBorder="1" applyAlignment="1">
      <alignment horizontal="center"/>
    </xf>
    <xf numFmtId="2" fontId="1" fillId="0" borderId="10" xfId="1" applyNumberFormat="1" applyBorder="1"/>
    <xf numFmtId="2" fontId="1" fillId="0" borderId="5" xfId="1" applyNumberFormat="1" applyBorder="1"/>
    <xf numFmtId="0" fontId="2" fillId="0" borderId="59" xfId="1" applyFont="1" applyBorder="1"/>
    <xf numFmtId="2" fontId="1" fillId="0" borderId="59" xfId="1" applyNumberFormat="1" applyBorder="1"/>
    <xf numFmtId="2" fontId="1" fillId="0" borderId="7" xfId="1" applyNumberFormat="1" applyBorder="1"/>
    <xf numFmtId="2" fontId="1" fillId="0" borderId="4" xfId="1" applyNumberFormat="1" applyBorder="1"/>
    <xf numFmtId="2" fontId="1" fillId="0" borderId="9" xfId="1" applyNumberFormat="1" applyBorder="1"/>
    <xf numFmtId="0" fontId="2" fillId="0" borderId="59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2" fillId="0" borderId="14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2" fontId="1" fillId="0" borderId="35" xfId="1" applyNumberFormat="1" applyBorder="1"/>
    <xf numFmtId="2" fontId="1" fillId="0" borderId="21" xfId="1" applyNumberFormat="1" applyBorder="1"/>
    <xf numFmtId="2" fontId="1" fillId="0" borderId="37" xfId="1" applyNumberFormat="1" applyBorder="1"/>
    <xf numFmtId="2" fontId="1" fillId="0" borderId="25" xfId="1" applyNumberFormat="1" applyBorder="1"/>
    <xf numFmtId="2" fontId="1" fillId="0" borderId="39" xfId="1" applyNumberFormat="1" applyBorder="1"/>
    <xf numFmtId="2" fontId="1" fillId="0" borderId="31" xfId="1" applyNumberFormat="1" applyBorder="1"/>
    <xf numFmtId="0" fontId="15" fillId="0" borderId="0" xfId="1" applyFont="1" applyAlignment="1">
      <alignment horizontal="center"/>
    </xf>
    <xf numFmtId="0" fontId="1" fillId="0" borderId="1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5" xfId="1" applyBorder="1" applyAlignment="1">
      <alignment horizontal="center"/>
    </xf>
    <xf numFmtId="0" fontId="1" fillId="0" borderId="16" xfId="1" applyBorder="1" applyAlignment="1">
      <alignment horizontal="center"/>
    </xf>
    <xf numFmtId="0" fontId="1" fillId="0" borderId="19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0" borderId="34" xfId="1" applyBorder="1" applyAlignment="1">
      <alignment horizontal="center"/>
    </xf>
    <xf numFmtId="0" fontId="1" fillId="0" borderId="24" xfId="1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36" xfId="1" applyBorder="1" applyAlignment="1">
      <alignment horizontal="center"/>
    </xf>
    <xf numFmtId="0" fontId="11" fillId="2" borderId="36" xfId="1" applyFont="1" applyFill="1" applyBorder="1" applyAlignment="1">
      <alignment horizontal="center"/>
    </xf>
    <xf numFmtId="0" fontId="1" fillId="0" borderId="58" xfId="1" applyBorder="1" applyAlignment="1">
      <alignment horizontal="center"/>
    </xf>
    <xf numFmtId="0" fontId="1" fillId="0" borderId="56" xfId="1" applyBorder="1" applyAlignment="1">
      <alignment horizontal="center"/>
    </xf>
    <xf numFmtId="0" fontId="11" fillId="2" borderId="56" xfId="1" applyFont="1" applyFill="1" applyBorder="1" applyAlignment="1">
      <alignment horizontal="center"/>
    </xf>
    <xf numFmtId="0" fontId="1" fillId="0" borderId="57" xfId="1" applyBorder="1" applyAlignment="1">
      <alignment horizontal="center"/>
    </xf>
    <xf numFmtId="0" fontId="13" fillId="7" borderId="1" xfId="1" applyFont="1" applyFill="1" applyBorder="1" applyAlignment="1">
      <alignment horizontal="center"/>
    </xf>
    <xf numFmtId="0" fontId="13" fillId="7" borderId="17" xfId="1" applyFont="1" applyFill="1" applyBorder="1" applyAlignment="1">
      <alignment horizontal="center"/>
    </xf>
    <xf numFmtId="0" fontId="13" fillId="7" borderId="15" xfId="1" applyFont="1" applyFill="1" applyBorder="1" applyAlignment="1">
      <alignment horizontal="center"/>
    </xf>
    <xf numFmtId="0" fontId="13" fillId="7" borderId="16" xfId="1" applyFont="1" applyFill="1" applyBorder="1" applyAlignment="1">
      <alignment horizontal="center"/>
    </xf>
    <xf numFmtId="0" fontId="13" fillId="7" borderId="26" xfId="1" applyFont="1" applyFill="1" applyBorder="1" applyAlignment="1">
      <alignment horizontal="center"/>
    </xf>
    <xf numFmtId="0" fontId="1" fillId="8" borderId="19" xfId="1" applyFill="1" applyBorder="1" applyAlignment="1">
      <alignment horizontal="center"/>
    </xf>
    <xf numFmtId="0" fontId="1" fillId="8" borderId="20" xfId="1" applyFill="1" applyBorder="1" applyAlignment="1">
      <alignment horizontal="center"/>
    </xf>
    <xf numFmtId="0" fontId="1" fillId="8" borderId="21" xfId="1" applyFill="1" applyBorder="1" applyAlignment="1">
      <alignment horizontal="center"/>
    </xf>
    <xf numFmtId="0" fontId="13" fillId="7" borderId="23" xfId="1" applyFont="1" applyFill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8" borderId="24" xfId="1" applyFill="1" applyBorder="1" applyAlignment="1">
      <alignment horizontal="center"/>
    </xf>
    <xf numFmtId="0" fontId="1" fillId="8" borderId="12" xfId="1" applyFill="1" applyBorder="1" applyAlignment="1">
      <alignment horizontal="center"/>
    </xf>
    <xf numFmtId="0" fontId="1" fillId="8" borderId="25" xfId="1" applyFill="1" applyBorder="1" applyAlignment="1">
      <alignment horizontal="center"/>
    </xf>
    <xf numFmtId="0" fontId="11" fillId="2" borderId="25" xfId="1" applyFont="1" applyFill="1" applyBorder="1" applyAlignment="1">
      <alignment horizontal="center"/>
    </xf>
    <xf numFmtId="0" fontId="13" fillId="7" borderId="28" xfId="1" applyFont="1" applyFill="1" applyBorder="1" applyAlignment="1">
      <alignment horizontal="center"/>
    </xf>
    <xf numFmtId="0" fontId="1" fillId="8" borderId="29" xfId="1" applyFill="1" applyBorder="1" applyAlignment="1">
      <alignment horizontal="center"/>
    </xf>
    <xf numFmtId="0" fontId="1" fillId="8" borderId="30" xfId="1" applyFill="1" applyBorder="1" applyAlignment="1">
      <alignment horizontal="center"/>
    </xf>
    <xf numFmtId="0" fontId="11" fillId="2" borderId="30" xfId="1" applyFont="1" applyFill="1" applyBorder="1" applyAlignment="1">
      <alignment horizontal="center"/>
    </xf>
    <xf numFmtId="0" fontId="1" fillId="8" borderId="53" xfId="1" applyFill="1" applyBorder="1" applyAlignment="1">
      <alignment horizontal="center"/>
    </xf>
    <xf numFmtId="0" fontId="11" fillId="9" borderId="20" xfId="1" applyFont="1" applyFill="1" applyBorder="1" applyAlignment="1">
      <alignment horizontal="center"/>
    </xf>
    <xf numFmtId="0" fontId="11" fillId="2" borderId="12" xfId="1" applyFont="1" applyFill="1" applyBorder="1" applyAlignment="1">
      <alignment horizontal="center"/>
    </xf>
    <xf numFmtId="0" fontId="11" fillId="9" borderId="12" xfId="1" applyFont="1" applyFill="1" applyBorder="1" applyAlignment="1">
      <alignment horizontal="center"/>
    </xf>
    <xf numFmtId="0" fontId="11" fillId="2" borderId="24" xfId="1" applyFont="1" applyFill="1" applyBorder="1" applyAlignment="1">
      <alignment horizontal="center"/>
    </xf>
    <xf numFmtId="0" fontId="16" fillId="0" borderId="0" xfId="1" applyFont="1" applyAlignment="1">
      <alignment horizontal="left" vertical="center" indent="1"/>
    </xf>
    <xf numFmtId="0" fontId="1" fillId="0" borderId="50" xfId="1" applyBorder="1" applyAlignment="1">
      <alignment vertical="center"/>
    </xf>
    <xf numFmtId="164" fontId="1" fillId="0" borderId="37" xfId="1" applyNumberFormat="1" applyBorder="1" applyAlignment="1">
      <alignment vertical="center"/>
    </xf>
    <xf numFmtId="164" fontId="1" fillId="0" borderId="12" xfId="1" applyNumberFormat="1" applyBorder="1" applyAlignment="1">
      <alignment vertical="center"/>
    </xf>
    <xf numFmtId="0" fontId="1" fillId="0" borderId="36" xfId="1" applyBorder="1" applyAlignment="1">
      <alignment vertical="center"/>
    </xf>
    <xf numFmtId="165" fontId="1" fillId="0" borderId="37" xfId="1" applyNumberFormat="1" applyBorder="1" applyAlignment="1">
      <alignment vertical="center"/>
    </xf>
    <xf numFmtId="0" fontId="1" fillId="0" borderId="25" xfId="1" applyBorder="1" applyAlignment="1">
      <alignment vertical="center"/>
    </xf>
    <xf numFmtId="0" fontId="1" fillId="0" borderId="24" xfId="1" applyBorder="1" applyAlignment="1">
      <alignment vertical="center"/>
    </xf>
    <xf numFmtId="0" fontId="1" fillId="0" borderId="0" xfId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12" fillId="0" borderId="34" xfId="2" applyBorder="1"/>
    <xf numFmtId="0" fontId="12" fillId="0" borderId="36" xfId="2" applyBorder="1"/>
    <xf numFmtId="0" fontId="12" fillId="0" borderId="38" xfId="2" applyBorder="1"/>
    <xf numFmtId="165" fontId="1" fillId="6" borderId="8" xfId="1" applyNumberFormat="1" applyFill="1" applyBorder="1"/>
    <xf numFmtId="165" fontId="1" fillId="6" borderId="0" xfId="1" applyNumberFormat="1" applyFill="1"/>
    <xf numFmtId="165" fontId="1" fillId="6" borderId="10" xfId="1" applyNumberFormat="1" applyFill="1" applyBorder="1"/>
    <xf numFmtId="165" fontId="1" fillId="6" borderId="5" xfId="1" applyNumberFormat="1" applyFill="1" applyBorder="1"/>
    <xf numFmtId="0" fontId="18" fillId="0" borderId="17" xfId="1" applyFont="1" applyBorder="1" applyAlignment="1">
      <alignment horizontal="center" vertical="center"/>
    </xf>
    <xf numFmtId="0" fontId="2" fillId="2" borderId="15" xfId="1" applyFont="1" applyFill="1" applyBorder="1" applyAlignment="1">
      <alignment horizontal="center"/>
    </xf>
    <xf numFmtId="0" fontId="1" fillId="0" borderId="35" xfId="1" applyBorder="1"/>
    <xf numFmtId="0" fontId="1" fillId="0" borderId="19" xfId="1" applyBorder="1"/>
    <xf numFmtId="0" fontId="1" fillId="0" borderId="20" xfId="1" applyBorder="1"/>
    <xf numFmtId="0" fontId="1" fillId="0" borderId="26" xfId="1" applyBorder="1"/>
    <xf numFmtId="0" fontId="1" fillId="0" borderId="37" xfId="1" applyBorder="1"/>
    <xf numFmtId="0" fontId="1" fillId="0" borderId="12" xfId="1" applyBorder="1"/>
    <xf numFmtId="0" fontId="1" fillId="0" borderId="39" xfId="1" applyBorder="1"/>
    <xf numFmtId="0" fontId="1" fillId="0" borderId="29" xfId="1" applyBorder="1"/>
    <xf numFmtId="0" fontId="1" fillId="0" borderId="30" xfId="1" applyBorder="1"/>
    <xf numFmtId="2" fontId="1" fillId="0" borderId="46" xfId="1" applyNumberFormat="1" applyBorder="1"/>
    <xf numFmtId="2" fontId="1" fillId="0" borderId="48" xfId="1" applyNumberFormat="1" applyBorder="1"/>
    <xf numFmtId="2" fontId="1" fillId="0" borderId="18" xfId="1" applyNumberFormat="1" applyBorder="1"/>
    <xf numFmtId="2" fontId="1" fillId="0" borderId="29" xfId="1" applyNumberFormat="1" applyBorder="1"/>
    <xf numFmtId="2" fontId="1" fillId="0" borderId="30" xfId="1" applyNumberFormat="1" applyBorder="1"/>
    <xf numFmtId="2" fontId="1" fillId="0" borderId="28" xfId="1" applyNumberFormat="1" applyBorder="1"/>
    <xf numFmtId="2" fontId="1" fillId="0" borderId="40" xfId="1" applyNumberFormat="1" applyBorder="1"/>
    <xf numFmtId="2" fontId="1" fillId="0" borderId="62" xfId="1" applyNumberFormat="1" applyBorder="1"/>
    <xf numFmtId="2" fontId="1" fillId="2" borderId="62" xfId="1" applyNumberFormat="1" applyFill="1" applyBorder="1"/>
    <xf numFmtId="2" fontId="1" fillId="0" borderId="42" xfId="1" applyNumberFormat="1" applyBorder="1"/>
    <xf numFmtId="2" fontId="1" fillId="0" borderId="3" xfId="1" applyNumberFormat="1" applyBorder="1"/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10" borderId="16" xfId="1" applyFont="1" applyFill="1" applyBorder="1" applyAlignment="1">
      <alignment horizontal="center"/>
    </xf>
    <xf numFmtId="0" fontId="2" fillId="10" borderId="17" xfId="1" applyFont="1" applyFill="1" applyBorder="1" applyAlignment="1">
      <alignment horizontal="center"/>
    </xf>
    <xf numFmtId="0" fontId="2" fillId="10" borderId="33" xfId="1" applyFont="1" applyFill="1" applyBorder="1" applyAlignment="1">
      <alignment horizontal="center"/>
    </xf>
    <xf numFmtId="0" fontId="2" fillId="10" borderId="1" xfId="1" applyFont="1" applyFill="1" applyBorder="1" applyAlignment="1">
      <alignment horizontal="center"/>
    </xf>
    <xf numFmtId="2" fontId="1" fillId="0" borderId="20" xfId="1" applyNumberFormat="1" applyBorder="1"/>
    <xf numFmtId="2" fontId="1" fillId="0" borderId="19" xfId="1" applyNumberFormat="1" applyBorder="1"/>
    <xf numFmtId="2" fontId="1" fillId="0" borderId="34" xfId="1" applyNumberFormat="1" applyBorder="1"/>
    <xf numFmtId="2" fontId="1" fillId="0" borderId="12" xfId="1" applyNumberFormat="1" applyBorder="1"/>
    <xf numFmtId="2" fontId="1" fillId="0" borderId="36" xfId="1" applyNumberFormat="1" applyBorder="1"/>
    <xf numFmtId="2" fontId="1" fillId="0" borderId="38" xfId="1" applyNumberFormat="1" applyBorder="1"/>
    <xf numFmtId="0" fontId="19" fillId="0" borderId="1" xfId="2" applyFont="1" applyBorder="1" applyAlignment="1">
      <alignment horizontal="center"/>
    </xf>
    <xf numFmtId="0" fontId="19" fillId="0" borderId="17" xfId="2" applyFont="1" applyBorder="1" applyAlignment="1">
      <alignment horizontal="center"/>
    </xf>
    <xf numFmtId="0" fontId="19" fillId="0" borderId="33" xfId="2" applyFont="1" applyBorder="1" applyAlignment="1">
      <alignment horizontal="center"/>
    </xf>
    <xf numFmtId="0" fontId="12" fillId="0" borderId="26" xfId="2" applyBorder="1" applyAlignment="1">
      <alignment horizontal="center"/>
    </xf>
    <xf numFmtId="0" fontId="12" fillId="0" borderId="19" xfId="2" applyBorder="1"/>
    <xf numFmtId="0" fontId="12" fillId="0" borderId="26" xfId="2" applyBorder="1"/>
    <xf numFmtId="0" fontId="12" fillId="0" borderId="23" xfId="2" applyBorder="1" applyAlignment="1">
      <alignment horizontal="center"/>
    </xf>
    <xf numFmtId="0" fontId="12" fillId="0" borderId="24" xfId="2" applyBorder="1"/>
    <xf numFmtId="0" fontId="12" fillId="0" borderId="23" xfId="2" applyBorder="1"/>
    <xf numFmtId="0" fontId="20" fillId="0" borderId="44" xfId="2" applyFont="1" applyBorder="1" applyAlignment="1">
      <alignment horizontal="centerContinuous"/>
    </xf>
    <xf numFmtId="0" fontId="12" fillId="0" borderId="28" xfId="2" applyBorder="1" applyAlignment="1">
      <alignment horizontal="center"/>
    </xf>
    <xf numFmtId="0" fontId="12" fillId="0" borderId="29" xfId="2" applyBorder="1"/>
    <xf numFmtId="0" fontId="12" fillId="0" borderId="28" xfId="2" applyBorder="1"/>
    <xf numFmtId="0" fontId="19" fillId="2" borderId="1" xfId="2" applyFont="1" applyFill="1" applyBorder="1"/>
    <xf numFmtId="0" fontId="12" fillId="0" borderId="5" xfId="2" applyBorder="1"/>
    <xf numFmtId="0" fontId="19" fillId="0" borderId="14" xfId="2" applyFont="1" applyBorder="1" applyAlignment="1">
      <alignment horizontal="center"/>
    </xf>
    <xf numFmtId="0" fontId="12" fillId="0" borderId="35" xfId="2" applyBorder="1"/>
    <xf numFmtId="0" fontId="12" fillId="0" borderId="39" xfId="2" applyBorder="1"/>
    <xf numFmtId="0" fontId="19" fillId="0" borderId="0" xfId="2" applyFont="1"/>
    <xf numFmtId="0" fontId="20" fillId="0" borderId="44" xfId="2" applyFont="1" applyBorder="1" applyAlignment="1">
      <alignment horizontal="center"/>
    </xf>
    <xf numFmtId="0" fontId="19" fillId="2" borderId="0" xfId="2" applyFont="1" applyFill="1"/>
    <xf numFmtId="0" fontId="19" fillId="0" borderId="12" xfId="2" applyFont="1" applyBorder="1" applyAlignment="1">
      <alignment horizontal="center"/>
    </xf>
    <xf numFmtId="0" fontId="12" fillId="0" borderId="12" xfId="2" applyBorder="1" applyAlignment="1">
      <alignment horizontal="center"/>
    </xf>
    <xf numFmtId="0" fontId="12" fillId="0" borderId="12" xfId="2" applyBorder="1"/>
    <xf numFmtId="0" fontId="19" fillId="0" borderId="0" xfId="2" applyFont="1" applyAlignment="1">
      <alignment horizontal="right"/>
    </xf>
    <xf numFmtId="10" fontId="12" fillId="0" borderId="0" xfId="2" applyNumberFormat="1"/>
    <xf numFmtId="0" fontId="12" fillId="0" borderId="0" xfId="2" applyAlignment="1">
      <alignment horizontal="center"/>
    </xf>
    <xf numFmtId="0" fontId="19" fillId="0" borderId="0" xfId="2" applyFont="1" applyAlignment="1">
      <alignment horizontal="center"/>
    </xf>
    <xf numFmtId="164" fontId="12" fillId="0" borderId="12" xfId="2" applyNumberFormat="1" applyBorder="1" applyAlignment="1">
      <alignment horizontal="center"/>
    </xf>
    <xf numFmtId="0" fontId="1" fillId="0" borderId="18" xfId="1" applyBorder="1" applyAlignment="1">
      <alignment horizontal="center"/>
    </xf>
    <xf numFmtId="164" fontId="1" fillId="0" borderId="49" xfId="1" applyNumberFormat="1" applyBorder="1"/>
    <xf numFmtId="0" fontId="1" fillId="0" borderId="63" xfId="1" applyBorder="1"/>
    <xf numFmtId="165" fontId="1" fillId="11" borderId="59" xfId="1" applyNumberFormat="1" applyFill="1" applyBorder="1"/>
    <xf numFmtId="165" fontId="1" fillId="11" borderId="6" xfId="1" applyNumberFormat="1" applyFill="1" applyBorder="1"/>
    <xf numFmtId="0" fontId="1" fillId="11" borderId="7" xfId="1" applyFill="1" applyBorder="1"/>
    <xf numFmtId="165" fontId="1" fillId="11" borderId="8" xfId="1" applyNumberFormat="1" applyFill="1" applyBorder="1"/>
    <xf numFmtId="0" fontId="1" fillId="11" borderId="9" xfId="1" applyFill="1" applyBorder="1"/>
    <xf numFmtId="0" fontId="1" fillId="6" borderId="9" xfId="1" applyFill="1" applyBorder="1"/>
    <xf numFmtId="0" fontId="1" fillId="6" borderId="4" xfId="1" applyFill="1" applyBorder="1"/>
    <xf numFmtId="165" fontId="1" fillId="11" borderId="0" xfId="1" applyNumberFormat="1" applyFill="1"/>
    <xf numFmtId="165" fontId="1" fillId="11" borderId="10" xfId="1" applyNumberFormat="1" applyFill="1" applyBorder="1"/>
    <xf numFmtId="165" fontId="1" fillId="11" borderId="5" xfId="1" applyNumberFormat="1" applyFill="1" applyBorder="1"/>
    <xf numFmtId="0" fontId="1" fillId="11" borderId="4" xfId="1" applyFill="1" applyBorder="1"/>
    <xf numFmtId="0" fontId="1" fillId="6" borderId="0" xfId="1" applyFill="1"/>
    <xf numFmtId="0" fontId="1" fillId="6" borderId="5" xfId="1" applyFill="1" applyBorder="1"/>
    <xf numFmtId="166" fontId="1" fillId="0" borderId="26" xfId="1" applyNumberFormat="1" applyBorder="1"/>
    <xf numFmtId="166" fontId="1" fillId="0" borderId="23" xfId="1" applyNumberFormat="1" applyBorder="1"/>
    <xf numFmtId="166" fontId="1" fillId="0" borderId="28" xfId="1" applyNumberFormat="1" applyBorder="1"/>
    <xf numFmtId="166" fontId="11" fillId="2" borderId="1" xfId="1" applyNumberFormat="1" applyFont="1" applyFill="1" applyBorder="1"/>
    <xf numFmtId="0" fontId="19" fillId="2" borderId="12" xfId="2" applyFont="1" applyFill="1" applyBorder="1"/>
    <xf numFmtId="165" fontId="1" fillId="0" borderId="59" xfId="1" applyNumberFormat="1" applyBorder="1"/>
    <xf numFmtId="165" fontId="1" fillId="0" borderId="6" xfId="1" applyNumberFormat="1" applyBorder="1"/>
    <xf numFmtId="0" fontId="1" fillId="0" borderId="7" xfId="1" applyBorder="1"/>
    <xf numFmtId="165" fontId="1" fillId="0" borderId="8" xfId="1" applyNumberFormat="1" applyBorder="1"/>
    <xf numFmtId="0" fontId="1" fillId="0" borderId="9" xfId="1" applyBorder="1"/>
    <xf numFmtId="165" fontId="1" fillId="0" borderId="10" xfId="1" applyNumberFormat="1" applyBorder="1"/>
    <xf numFmtId="165" fontId="1" fillId="0" borderId="5" xfId="1" applyNumberFormat="1" applyBorder="1"/>
    <xf numFmtId="0" fontId="1" fillId="0" borderId="4" xfId="1" applyBorder="1"/>
    <xf numFmtId="165" fontId="1" fillId="0" borderId="0" xfId="1" applyNumberFormat="1"/>
    <xf numFmtId="0" fontId="12" fillId="11" borderId="12" xfId="2" applyFill="1" applyBorder="1"/>
    <xf numFmtId="17" fontId="0" fillId="0" borderId="0" xfId="0" applyNumberFormat="1"/>
    <xf numFmtId="4" fontId="0" fillId="0" borderId="0" xfId="0" applyNumberFormat="1"/>
    <xf numFmtId="0" fontId="22" fillId="0" borderId="0" xfId="0" applyFont="1" applyAlignment="1">
      <alignment vertical="center"/>
    </xf>
    <xf numFmtId="0" fontId="0" fillId="0" borderId="0" xfId="0" applyAlignment="1">
      <alignment wrapText="1"/>
    </xf>
    <xf numFmtId="2" fontId="0" fillId="0" borderId="0" xfId="0" applyNumberFormat="1"/>
    <xf numFmtId="0" fontId="21" fillId="0" borderId="0" xfId="0" applyFont="1" applyAlignment="1">
      <alignment horizontal="center"/>
    </xf>
    <xf numFmtId="0" fontId="23" fillId="0" borderId="0" xfId="2" applyFont="1"/>
    <xf numFmtId="0" fontId="0" fillId="0" borderId="5" xfId="0" applyBorder="1"/>
    <xf numFmtId="0" fontId="24" fillId="0" borderId="44" xfId="0" applyFont="1" applyBorder="1" applyAlignment="1">
      <alignment horizontal="center"/>
    </xf>
    <xf numFmtId="0" fontId="24" fillId="0" borderId="44" xfId="0" applyFont="1" applyBorder="1" applyAlignment="1">
      <alignment horizontal="centerContinuous"/>
    </xf>
    <xf numFmtId="0" fontId="0" fillId="2" borderId="0" xfId="0" applyFill="1"/>
    <xf numFmtId="0" fontId="0" fillId="2" borderId="5" xfId="0" applyFill="1" applyBorder="1"/>
    <xf numFmtId="0" fontId="17" fillId="0" borderId="14" xfId="1" applyFont="1" applyBorder="1" applyAlignment="1">
      <alignment horizontal="center"/>
    </xf>
    <xf numFmtId="0" fontId="17" fillId="0" borderId="15" xfId="1" applyFont="1" applyBorder="1" applyAlignment="1">
      <alignment horizontal="center"/>
    </xf>
    <xf numFmtId="0" fontId="17" fillId="0" borderId="16" xfId="1" applyFont="1" applyBorder="1" applyAlignment="1">
      <alignment horizontal="center"/>
    </xf>
    <xf numFmtId="0" fontId="1" fillId="0" borderId="60" xfId="1" applyBorder="1" applyAlignment="1">
      <alignment horizontal="left"/>
    </xf>
    <xf numFmtId="0" fontId="1" fillId="0" borderId="2" xfId="1" applyBorder="1" applyAlignment="1">
      <alignment horizontal="left"/>
    </xf>
    <xf numFmtId="0" fontId="1" fillId="0" borderId="49" xfId="1" applyBorder="1" applyAlignment="1">
      <alignment horizontal="left"/>
    </xf>
    <xf numFmtId="0" fontId="1" fillId="0" borderId="46" xfId="1" applyBorder="1" applyAlignment="1">
      <alignment horizontal="left"/>
    </xf>
    <xf numFmtId="0" fontId="1" fillId="0" borderId="48" xfId="1" applyBorder="1" applyAlignment="1">
      <alignment horizontal="left"/>
    </xf>
    <xf numFmtId="0" fontId="1" fillId="0" borderId="29" xfId="1" applyBorder="1" applyAlignment="1">
      <alignment horizontal="left"/>
    </xf>
    <xf numFmtId="0" fontId="1" fillId="0" borderId="30" xfId="1" applyBorder="1" applyAlignment="1">
      <alignment horizontal="left"/>
    </xf>
    <xf numFmtId="0" fontId="1" fillId="0" borderId="31" xfId="1" applyBorder="1" applyAlignment="1">
      <alignment horizontal="left"/>
    </xf>
    <xf numFmtId="0" fontId="0" fillId="0" borderId="0" xfId="0" applyAlignment="1">
      <alignment wrapText="1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7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5" xfId="1" applyFont="1" applyBorder="1" applyAlignment="1">
      <alignment horizontal="center"/>
    </xf>
    <xf numFmtId="0" fontId="2" fillId="0" borderId="60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14" fillId="0" borderId="60" xfId="1" applyFont="1" applyBorder="1" applyAlignment="1">
      <alignment horizontal="center"/>
    </xf>
    <xf numFmtId="0" fontId="14" fillId="0" borderId="11" xfId="1" applyFont="1" applyBorder="1" applyAlignment="1">
      <alignment horizontal="center"/>
    </xf>
    <xf numFmtId="0" fontId="14" fillId="0" borderId="2" xfId="1" applyFont="1" applyBorder="1" applyAlignment="1">
      <alignment horizontal="center"/>
    </xf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4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4" formatCode="#,##0.00"/>
    </dxf>
    <dxf>
      <numFmt numFmtId="22" formatCode="mmm/yy"/>
    </dxf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Final Exam Marks % vs. Absent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 vs.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4436942257217849"/>
                  <c:y val="-0.382538455996507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 (2)'!$C$4:$C$10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 (2)'!$D$4:$D$10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14-42D3-B9DD-AA255A15D796}"/>
            </c:ext>
          </c:extLst>
        </c:ser>
        <c:ser>
          <c:idx val="1"/>
          <c:order val="1"/>
          <c:tx>
            <c:v>Test Rows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'Correlation &amp; Regression-1 (2)'!$F$14:$F$16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13</c:v>
                </c:pt>
              </c:numCache>
            </c:numRef>
          </c:xVal>
          <c:yVal>
            <c:numRef>
              <c:f>'Correlation &amp; Regression-1 (2)'!$G$14:$G$16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62.651741293532332</c:v>
                </c:pt>
                <c:pt idx="2">
                  <c:v>55.407960199004968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14-42D3-B9DD-AA255A15D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046576"/>
        <c:axId val="1739251056"/>
      </c:scatterChart>
      <c:valAx>
        <c:axId val="1895046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251056"/>
        <c:crosses val="autoZero"/>
        <c:crossBetween val="midCat"/>
      </c:valAx>
      <c:valAx>
        <c:axId val="173925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Exam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046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108926</xdr:colOff>
      <xdr:row>0</xdr:row>
      <xdr:rowOff>12886</xdr:rowOff>
    </xdr:from>
    <xdr:to>
      <xdr:col>13</xdr:col>
      <xdr:colOff>328560</xdr:colOff>
      <xdr:row>5</xdr:row>
      <xdr:rowOff>169847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76126" y="12886"/>
          <a:ext cx="3877234" cy="1018352"/>
        </a:xfrm>
        <a:prstGeom prst="rect">
          <a:avLst/>
        </a:prstGeom>
      </xdr:spPr>
    </xdr:pic>
    <xdr:clientData/>
  </xdr:twoCellAnchor>
  <xdr:twoCellAnchor>
    <xdr:from>
      <xdr:col>7</xdr:col>
      <xdr:colOff>182881</xdr:colOff>
      <xdr:row>11</xdr:row>
      <xdr:rowOff>26946</xdr:rowOff>
    </xdr:from>
    <xdr:to>
      <xdr:col>14</xdr:col>
      <xdr:colOff>487681</xdr:colOff>
      <xdr:row>27</xdr:row>
      <xdr:rowOff>13694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EA70EE-7B4F-BF40-1A76-276128D61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45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44">
      <calculatedColumnFormula>C2-_xlfn.FORECAST.ETS.CONFINT(A2,$B$2:$B$17,$A$2:$A$17,0.95,1,1)</calculatedColumnFormula>
    </tableColumn>
    <tableColumn id="5" xr3:uid="{62F58AD9-1FC9-46C8-B4E7-2231918EC1E4}" name="Upper Confidence Bound(Sales)" dataDxfId="43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41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39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38"/>
    <tableColumn id="2" xr3:uid="{D910A9B9-D427-48EA-AB9E-200D7BB66C1E}" name="sepal_length" dataDxfId="37"/>
    <tableColumn id="3" xr3:uid="{039CAD4E-A07E-4F03-9810-EAAE56003B4E}" name="sepal_width" dataDxfId="36"/>
    <tableColumn id="4" xr3:uid="{312E3EBE-2568-4DC8-AE77-AC20D8199BC2}" name="petal_length" dataDxfId="35"/>
    <tableColumn id="5" xr3:uid="{3B818CF0-A6EC-4507-82CE-B4C0F12048CA}" name="petal_width" dataDxfId="34"/>
    <tableColumn id="6" xr3:uid="{9CB5291D-0B1B-49D9-B4D6-537AD2F558ED}" name="species" dataDxfId="33"/>
    <tableColumn id="7" xr3:uid="{BF7FDB39-9FB3-4F09-A7F3-11EB71B3910A}" name="Euclidean_x000a_Distance" dataDxfId="32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31">
      <calculatedColumnFormula>RANK(Table1[[#This Row],[Euclidean
Distance]],Table1[Euclidean
Distance],1)</calculatedColumnFormula>
    </tableColumn>
    <tableColumn id="9" xr3:uid="{BA65F439-C13B-4C8C-909A-06FC767773EA}" name="Manhattan_x000a_Distance" dataDxfId="30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29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28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27"/>
    <tableColumn id="2" xr3:uid="{A75179BD-7A57-4CAB-8BD0-BC07EBD90770}" name="sepal_length" dataDxfId="26"/>
    <tableColumn id="3" xr3:uid="{454D6FF2-D615-4F5D-B99E-C0409BA822D1}" name="sepal_width" dataDxfId="25"/>
    <tableColumn id="4" xr3:uid="{1C52C729-9E7A-4A1E-A720-BA60A2211EE2}" name="petal_length" dataDxfId="24"/>
    <tableColumn id="5" xr3:uid="{F2420024-0AFA-4949-83BD-9A17B7B9A955}" name="petal_width" dataDxfId="23"/>
    <tableColumn id="6" xr3:uid="{4D8A186D-14A0-4FA1-BC1E-C6BDE3530FC7}" name="species" dataDxfId="22"/>
    <tableColumn id="7" xr3:uid="{016AB6AE-A903-4DCC-ACFF-00A7D3E8B0FB}" name="Euclidean_x000a_Distance" dataDxfId="21"/>
    <tableColumn id="8" xr3:uid="{51B3085D-0C53-4B37-AB90-C08C6402F3ED}" name="Rank" dataDxfId="20"/>
    <tableColumn id="9" xr3:uid="{CC0342BF-290F-4B65-83F2-36DE7E759A31}" name="Manhattan_x000a_Distance" dataDxfId="19"/>
    <tableColumn id="10" xr3:uid="{033147C6-EEFE-4D19-8C98-ECC35D33375D}" name="Rank2" dataDxfId="18"/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17" totalsRowDxfId="14" headerRowBorderDxfId="16" tableBorderDxfId="15">
  <tableColumns count="7">
    <tableColumn id="1" xr3:uid="{27E9F5C9-0D3F-46E4-908D-15F1673D4826}" name="Distance" totalsRowLabel="Total" dataDxfId="13"/>
    <tableColumn id="2" xr3:uid="{972BA92F-997F-4E19-B0CF-4328F9D6CB72}" name="BA" dataDxfId="12"/>
    <tableColumn id="3" xr3:uid="{53FBB5C6-08DB-4CA1-90AA-CC856F1075E9}" name="FI" dataDxfId="11"/>
    <tableColumn id="4" xr3:uid="{7C7DEC26-6BB1-45C5-972A-CAE95A8CD19D}" name="MI" dataDxfId="10"/>
    <tableColumn id="5" xr3:uid="{88E30472-FBE0-46BB-9074-9881AD323715}" name="NA" dataDxfId="9"/>
    <tableColumn id="6" xr3:uid="{B80765EA-F69C-4A48-9D3A-1BBE1563A6DE}" name="RM" dataDxfId="8"/>
    <tableColumn id="7" xr3:uid="{BFB6640A-C3E5-427D-8F35-B3D3532CE630}" name="TO" totalsRowFunction="sum" dataDxfId="7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workbookViewId="0"/>
  </sheetViews>
  <sheetFormatPr defaultRowHeight="14.4"/>
  <cols>
    <col min="1" max="1" width="11.88671875" customWidth="1"/>
    <col min="2" max="2" width="11" customWidth="1"/>
  </cols>
  <sheetData>
    <row r="1" spans="1:2">
      <c r="A1" s="287" t="s">
        <v>207</v>
      </c>
      <c r="B1" s="287" t="s">
        <v>208</v>
      </c>
    </row>
    <row r="2" spans="1:2">
      <c r="A2" s="282">
        <v>45292</v>
      </c>
      <c r="B2">
        <v>1340</v>
      </c>
    </row>
    <row r="3" spans="1:2">
      <c r="A3" s="282">
        <v>45323</v>
      </c>
      <c r="B3">
        <v>1435</v>
      </c>
    </row>
    <row r="4" spans="1:2">
      <c r="A4" s="282">
        <v>45352</v>
      </c>
      <c r="B4">
        <v>1610</v>
      </c>
    </row>
    <row r="5" spans="1:2">
      <c r="A5" s="282">
        <v>45383</v>
      </c>
      <c r="B5">
        <v>1665</v>
      </c>
    </row>
    <row r="6" spans="1:2">
      <c r="A6" s="282">
        <v>45413</v>
      </c>
      <c r="B6">
        <v>1620</v>
      </c>
    </row>
    <row r="7" spans="1:2">
      <c r="A7" s="282">
        <v>45444</v>
      </c>
      <c r="B7">
        <v>1625</v>
      </c>
    </row>
    <row r="8" spans="1:2">
      <c r="A8" s="282">
        <v>45474</v>
      </c>
      <c r="B8">
        <v>1640</v>
      </c>
    </row>
    <row r="9" spans="1:2">
      <c r="A9" s="282">
        <v>45505</v>
      </c>
      <c r="B9">
        <v>1715</v>
      </c>
    </row>
    <row r="10" spans="1:2">
      <c r="A10" s="282">
        <v>45536</v>
      </c>
      <c r="B10">
        <v>1850</v>
      </c>
    </row>
    <row r="11" spans="1:2">
      <c r="A11" s="282">
        <v>45566</v>
      </c>
      <c r="B11">
        <v>1865</v>
      </c>
    </row>
    <row r="12" spans="1:2">
      <c r="A12" s="282">
        <v>45597</v>
      </c>
      <c r="B12">
        <v>1810</v>
      </c>
    </row>
    <row r="13" spans="1:2">
      <c r="A13" s="282">
        <v>45627</v>
      </c>
      <c r="B13">
        <v>1905</v>
      </c>
    </row>
    <row r="14" spans="1:2">
      <c r="A14" s="282">
        <v>45658</v>
      </c>
      <c r="B14">
        <v>1450</v>
      </c>
    </row>
    <row r="15" spans="1:2">
      <c r="A15" s="282">
        <v>45689</v>
      </c>
      <c r="B15">
        <v>1540</v>
      </c>
    </row>
    <row r="16" spans="1:2">
      <c r="A16" s="282">
        <v>45717</v>
      </c>
      <c r="B16">
        <v>1735</v>
      </c>
    </row>
    <row r="17" spans="1:2">
      <c r="A17" s="282">
        <v>45748</v>
      </c>
      <c r="B17">
        <v>1790</v>
      </c>
    </row>
    <row r="18" spans="1:2">
      <c r="A18" s="282">
        <v>45778</v>
      </c>
    </row>
    <row r="19" spans="1:2">
      <c r="A19" s="282">
        <v>45809</v>
      </c>
    </row>
    <row r="20" spans="1:2">
      <c r="A20" s="282">
        <v>45839</v>
      </c>
    </row>
    <row r="21" spans="1:2">
      <c r="A21" s="282">
        <v>45870</v>
      </c>
    </row>
    <row r="22" spans="1:2">
      <c r="A22" s="282">
        <v>45901</v>
      </c>
    </row>
    <row r="23" spans="1:2">
      <c r="A23" s="282">
        <v>45931</v>
      </c>
    </row>
    <row r="24" spans="1:2">
      <c r="A24" s="282">
        <v>45962</v>
      </c>
    </row>
    <row r="25" spans="1:2">
      <c r="A25" s="28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5">
      <c r="A17" s="282">
        <v>45748</v>
      </c>
      <c r="B17">
        <v>1790</v>
      </c>
      <c r="C17">
        <v>1790</v>
      </c>
      <c r="D17" s="286">
        <v>1790</v>
      </c>
      <c r="E17" s="286">
        <v>1790</v>
      </c>
    </row>
    <row r="18" spans="1:5">
      <c r="A18" s="282">
        <v>45778</v>
      </c>
      <c r="C18">
        <f t="shared" ref="C18:C26" si="0">_xlfn.FORECAST.ETS(A18,$B$2:$B$17,$A$2:$A$17,1,1)</f>
        <v>1776.656176214482</v>
      </c>
      <c r="D18" s="286">
        <f t="shared" ref="D18:D26" si="1">C18-_xlfn.FORECAST.ETS.CONFINT(A18,$B$2:$B$17,$A$2:$A$17,0.95,1,1)</f>
        <v>1472.0054534267915</v>
      </c>
      <c r="E18" s="286">
        <f t="shared" ref="E18:E26" si="2">C18+_xlfn.FORECAST.ETS.CONFINT(A18,$B$2:$B$17,$A$2:$A$17,0.95,1,1)</f>
        <v>2081.3068990021725</v>
      </c>
    </row>
    <row r="19" spans="1:5">
      <c r="A19" s="282">
        <v>45809</v>
      </c>
      <c r="C19">
        <f t="shared" si="0"/>
        <v>1794.4318639930925</v>
      </c>
      <c r="D19" s="286">
        <f t="shared" si="1"/>
        <v>1480.331059044245</v>
      </c>
      <c r="E19" s="286">
        <f t="shared" si="2"/>
        <v>2108.5326689419398</v>
      </c>
    </row>
    <row r="20" spans="1:5">
      <c r="A20" s="282">
        <v>45839</v>
      </c>
      <c r="C20">
        <f t="shared" si="0"/>
        <v>1812.2075517717033</v>
      </c>
      <c r="D20" s="286">
        <f t="shared" si="1"/>
        <v>1488.8605973843114</v>
      </c>
      <c r="E20" s="286">
        <f t="shared" si="2"/>
        <v>2135.5545061590951</v>
      </c>
    </row>
    <row r="21" spans="1:5">
      <c r="A21" s="282">
        <v>45870</v>
      </c>
      <c r="C21">
        <f t="shared" si="0"/>
        <v>1829.9832395503138</v>
      </c>
      <c r="D21" s="286">
        <f t="shared" si="1"/>
        <v>1497.5767711333287</v>
      </c>
      <c r="E21" s="286">
        <f t="shared" si="2"/>
        <v>2162.3897079672988</v>
      </c>
    </row>
    <row r="22" spans="1:5">
      <c r="A22" s="282">
        <v>45901</v>
      </c>
      <c r="C22">
        <f t="shared" si="0"/>
        <v>1847.7589273289245</v>
      </c>
      <c r="D22" s="286">
        <f t="shared" si="1"/>
        <v>1506.4644455464177</v>
      </c>
      <c r="E22" s="286">
        <f t="shared" si="2"/>
        <v>2189.0534091114314</v>
      </c>
    </row>
    <row r="23" spans="1:5">
      <c r="A23" s="282">
        <v>45931</v>
      </c>
      <c r="C23">
        <f t="shared" si="0"/>
        <v>1865.5346151075353</v>
      </c>
      <c r="D23" s="286">
        <f t="shared" si="1"/>
        <v>1515.5102906885868</v>
      </c>
      <c r="E23" s="286">
        <f t="shared" si="2"/>
        <v>2215.5589395264838</v>
      </c>
    </row>
    <row r="24" spans="1:5">
      <c r="A24" s="282">
        <v>45962</v>
      </c>
      <c r="C24">
        <f t="shared" si="0"/>
        <v>1883.3103028861458</v>
      </c>
      <c r="D24" s="286">
        <f t="shared" si="1"/>
        <v>1524.7024961685115</v>
      </c>
      <c r="E24" s="286">
        <f t="shared" si="2"/>
        <v>2241.9181096037801</v>
      </c>
    </row>
    <row r="25" spans="1:5">
      <c r="A25" s="282">
        <v>45992</v>
      </c>
      <c r="C25">
        <f t="shared" si="0"/>
        <v>1901.0859906647565</v>
      </c>
      <c r="D25" s="286">
        <f t="shared" si="1"/>
        <v>1534.0305412010712</v>
      </c>
      <c r="E25" s="286">
        <f t="shared" si="2"/>
        <v>2268.1414401284419</v>
      </c>
    </row>
    <row r="26" spans="1:5">
      <c r="A26" s="282">
        <v>46022</v>
      </c>
      <c r="C26">
        <f t="shared" si="0"/>
        <v>1918.288269160186</v>
      </c>
      <c r="D26" s="286">
        <f t="shared" si="1"/>
        <v>1543.1771433868537</v>
      </c>
      <c r="E26" s="286">
        <f t="shared" si="2"/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15">
      <c r="A17" s="282">
        <v>45748</v>
      </c>
      <c r="B17">
        <v>1790</v>
      </c>
    </row>
    <row r="18" spans="1:15">
      <c r="A18" s="282">
        <v>45778</v>
      </c>
      <c r="C18">
        <f t="shared" ref="C18:C26" si="0">_xlfn.FORECAST.ETS(A18,$B$2:$B$17,$A$2:$A$17,1,1)</f>
        <v>1776.656176214482</v>
      </c>
      <c r="D18">
        <f t="shared" ref="D18:D26" si="1">_xlfn.FORECAST.ETS.CONFINT(A18,$B$2:$B$17,$A$2:$A$17,0.95,1,1)</f>
        <v>304.65072278769037</v>
      </c>
    </row>
    <row r="19" spans="1:15">
      <c r="A19" s="282">
        <v>45809</v>
      </c>
      <c r="C19">
        <f t="shared" si="0"/>
        <v>1794.4318639930925</v>
      </c>
      <c r="D19">
        <f t="shared" si="1"/>
        <v>314.1008049488475</v>
      </c>
    </row>
    <row r="20" spans="1:15">
      <c r="A20" s="282">
        <v>45839</v>
      </c>
      <c r="C20">
        <f t="shared" si="0"/>
        <v>1812.2075517717033</v>
      </c>
      <c r="D20">
        <f t="shared" si="1"/>
        <v>323.34695438739175</v>
      </c>
    </row>
    <row r="21" spans="1:15">
      <c r="A21" s="282">
        <v>45870</v>
      </c>
      <c r="C21">
        <f t="shared" si="0"/>
        <v>1829.9832395503138</v>
      </c>
      <c r="D21">
        <f t="shared" si="1"/>
        <v>332.40646841698498</v>
      </c>
    </row>
    <row r="22" spans="1:15">
      <c r="A22" s="282">
        <v>45901</v>
      </c>
      <c r="C22">
        <f t="shared" si="0"/>
        <v>1847.7589273289245</v>
      </c>
      <c r="D22">
        <f t="shared" si="1"/>
        <v>341.29448178250681</v>
      </c>
    </row>
    <row r="23" spans="1:15">
      <c r="A23" s="282">
        <v>45931</v>
      </c>
      <c r="C23">
        <f t="shared" si="0"/>
        <v>1865.5346151075353</v>
      </c>
      <c r="D23">
        <f t="shared" si="1"/>
        <v>350.02432441894848</v>
      </c>
    </row>
    <row r="24" spans="1:15">
      <c r="A24" s="282">
        <v>45962</v>
      </c>
      <c r="C24">
        <f t="shared" si="0"/>
        <v>1883.3103028861458</v>
      </c>
      <c r="D24">
        <f t="shared" si="1"/>
        <v>358.60780671763422</v>
      </c>
    </row>
    <row r="25" spans="1:15">
      <c r="A25" s="282">
        <v>45992</v>
      </c>
      <c r="C25">
        <f t="shared" si="0"/>
        <v>1901.0859906647565</v>
      </c>
      <c r="D25">
        <f t="shared" si="1"/>
        <v>367.05544946368531</v>
      </c>
    </row>
    <row r="26" spans="1:15">
      <c r="A26" s="282">
        <v>46022</v>
      </c>
      <c r="C26">
        <f t="shared" si="0"/>
        <v>1918.288269160186</v>
      </c>
      <c r="D26">
        <f t="shared" si="1"/>
        <v>375.11112577333228</v>
      </c>
    </row>
    <row r="30" spans="1:15" ht="14.4" customHeight="1">
      <c r="B30" s="305" t="s">
        <v>220</v>
      </c>
      <c r="C30" s="305"/>
      <c r="D30" s="305"/>
      <c r="E30" s="305"/>
      <c r="F30" s="305"/>
      <c r="G30" s="305"/>
      <c r="H30" s="305"/>
      <c r="I30" s="305"/>
      <c r="J30" s="305"/>
      <c r="K30" s="305"/>
      <c r="L30" s="305"/>
      <c r="M30" s="285"/>
      <c r="N30" s="285"/>
      <c r="O30" s="285"/>
    </row>
    <row r="31" spans="1:15">
      <c r="B31" s="305"/>
      <c r="C31" s="305"/>
      <c r="D31" s="305"/>
      <c r="E31" s="305"/>
      <c r="F31" s="305"/>
      <c r="G31" s="305"/>
      <c r="H31" s="305"/>
      <c r="I31" s="305"/>
      <c r="J31" s="305"/>
      <c r="K31" s="305"/>
      <c r="L31" s="305"/>
      <c r="M31" s="285"/>
      <c r="N31" s="285"/>
      <c r="O31" s="285"/>
    </row>
    <row r="33" spans="2:12" ht="18">
      <c r="B33" s="284" t="s">
        <v>221</v>
      </c>
    </row>
    <row r="34" spans="2:12">
      <c r="B34" s="307" t="s">
        <v>222</v>
      </c>
      <c r="C34" s="307"/>
      <c r="D34" s="307"/>
      <c r="E34" s="307"/>
      <c r="F34" s="307"/>
      <c r="G34" s="307"/>
      <c r="H34" s="307"/>
      <c r="I34" s="307"/>
      <c r="J34" s="307"/>
      <c r="K34" s="307"/>
    </row>
    <row r="36" spans="2:12">
      <c r="B36" s="306" t="s">
        <v>223</v>
      </c>
      <c r="C36" s="306"/>
      <c r="D36" s="306"/>
      <c r="E36" s="306"/>
      <c r="F36" s="306"/>
      <c r="G36" s="306"/>
      <c r="H36" s="306"/>
      <c r="I36" s="306"/>
      <c r="J36" s="306"/>
      <c r="K36" s="306"/>
      <c r="L36" s="306"/>
    </row>
    <row r="37" spans="2:12">
      <c r="B37" s="306"/>
      <c r="C37" s="306"/>
      <c r="D37" s="306"/>
      <c r="E37" s="306"/>
      <c r="F37" s="306"/>
      <c r="G37" s="306"/>
      <c r="H37" s="306"/>
      <c r="I37" s="306"/>
      <c r="J37" s="306"/>
      <c r="K37" s="306"/>
      <c r="L37" s="306"/>
    </row>
    <row r="39" spans="2:12">
      <c r="B39" s="306" t="s">
        <v>224</v>
      </c>
      <c r="C39" s="306"/>
      <c r="D39" s="306"/>
      <c r="E39" s="306"/>
      <c r="F39" s="306"/>
      <c r="G39" s="306"/>
      <c r="H39" s="306"/>
      <c r="I39" s="306"/>
      <c r="J39" s="306"/>
      <c r="K39" s="306"/>
    </row>
    <row r="40" spans="2:12">
      <c r="B40" s="306"/>
      <c r="C40" s="306"/>
      <c r="D40" s="306"/>
      <c r="E40" s="306"/>
      <c r="F40" s="306"/>
      <c r="G40" s="306"/>
      <c r="H40" s="306"/>
      <c r="I40" s="306"/>
      <c r="J40" s="306"/>
      <c r="K40" s="306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28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28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28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topLeftCell="A2" zoomScale="150" zoomScaleNormal="150" workbookViewId="0">
      <selection activeCell="M8" sqref="M8:M9"/>
    </sheetView>
  </sheetViews>
  <sheetFormatPr defaultRowHeight="13.8"/>
  <cols>
    <col min="1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1:7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F10" si="1">C5^2</f>
        <v>4</v>
      </c>
      <c r="G5" s="245">
        <f t="shared" ref="G5:G10" si="2">D5^2</f>
        <v>7396</v>
      </c>
    </row>
    <row r="6" spans="1:7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2"/>
        <v>1849</v>
      </c>
    </row>
    <row r="7" spans="1:7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2"/>
        <v>5476</v>
      </c>
    </row>
    <row r="8" spans="1:7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2"/>
        <v>3364</v>
      </c>
    </row>
    <row r="9" spans="1:7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2"/>
        <v>8100</v>
      </c>
    </row>
    <row r="10" spans="1:7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2"/>
        <v>6084</v>
      </c>
    </row>
    <row r="11" spans="1:7">
      <c r="C11" s="288">
        <f t="shared" ref="C11:G11" si="3">SUM(C4:C10)</f>
        <v>57</v>
      </c>
      <c r="D11" s="288">
        <f t="shared" si="3"/>
        <v>511</v>
      </c>
      <c r="E11" s="288">
        <f t="shared" si="3"/>
        <v>3745</v>
      </c>
      <c r="F11" s="288">
        <f t="shared" si="3"/>
        <v>579</v>
      </c>
      <c r="G11" s="288">
        <f t="shared" si="3"/>
        <v>38993</v>
      </c>
    </row>
    <row r="13" spans="1:7">
      <c r="A13" s="246" t="s">
        <v>188</v>
      </c>
      <c r="B13" s="56">
        <f>COUNTA(B4:B10)</f>
        <v>7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B14" s="56">
        <f>(B13*E11-C11*D11)/SQRT((B13*F11-C11^2)*(B13*G11-D11^2))</f>
        <v>-0.94421517068791783</v>
      </c>
      <c r="E14" s="244" t="s">
        <v>190</v>
      </c>
      <c r="F14" s="244">
        <v>10</v>
      </c>
      <c r="G14" s="245">
        <f>$B$19+$B$20*F14</f>
        <v>66.273631840796014</v>
      </c>
    </row>
    <row r="15" spans="1:7">
      <c r="A15" s="246" t="s">
        <v>189</v>
      </c>
      <c r="B15" s="56">
        <f>CORREL(C4:C10,D4:D10)</f>
        <v>-0.94421517068791805</v>
      </c>
      <c r="E15" s="244" t="s">
        <v>191</v>
      </c>
      <c r="F15" s="244">
        <v>11</v>
      </c>
      <c r="G15" s="245">
        <f t="shared" ref="G15:G16" si="4">$B$19+$B$20*F15</f>
        <v>62.651741293532332</v>
      </c>
    </row>
    <row r="16" spans="1:7">
      <c r="A16" s="246" t="s">
        <v>189</v>
      </c>
      <c r="B16" s="56">
        <f>CORREL(D4:D10,C4:C10)</f>
        <v>-0.94421517068791805</v>
      </c>
      <c r="E16" s="244" t="s">
        <v>192</v>
      </c>
      <c r="F16" s="244">
        <v>13</v>
      </c>
      <c r="G16" s="245">
        <f t="shared" si="4"/>
        <v>55.407960199004968</v>
      </c>
    </row>
    <row r="17" spans="1:3">
      <c r="A17" s="246" t="s">
        <v>193</v>
      </c>
      <c r="B17" s="56">
        <f>(D11*F11-C11*E11)/(B13*F11-C11^2)</f>
        <v>102.49253731343283</v>
      </c>
      <c r="C17" s="56" t="s">
        <v>194</v>
      </c>
    </row>
    <row r="18" spans="1:3">
      <c r="A18" s="246" t="s">
        <v>195</v>
      </c>
      <c r="B18" s="56">
        <f>(B13*E11-C11*D11)/(B13*F11-C11^2)</f>
        <v>-3.6218905472636815</v>
      </c>
      <c r="C18" s="56" t="s">
        <v>196</v>
      </c>
    </row>
    <row r="19" spans="1:3">
      <c r="A19" s="246" t="s">
        <v>193</v>
      </c>
      <c r="B19" s="56">
        <f>INTERCEPT(D4:D10,C4:C10)</f>
        <v>102.49253731343283</v>
      </c>
      <c r="C19" s="56" t="s">
        <v>194</v>
      </c>
    </row>
    <row r="20" spans="1:3">
      <c r="A20" s="246" t="s">
        <v>195</v>
      </c>
      <c r="B20" s="56">
        <f>SLOPE(D4:D10,C4:C10)</f>
        <v>-3.621890547263682</v>
      </c>
      <c r="C20" s="56" t="s">
        <v>196</v>
      </c>
    </row>
    <row r="21" spans="1:3">
      <c r="A21" s="246" t="s">
        <v>197</v>
      </c>
      <c r="B21" s="56">
        <f>B14^2</f>
        <v>0.89154228855721385</v>
      </c>
      <c r="C21" s="247">
        <f>B21</f>
        <v>0.89154228855721385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Q23"/>
  <sheetViews>
    <sheetView zoomScale="120" zoomScaleNormal="120" workbookViewId="0">
      <selection activeCell="G8" sqref="G8"/>
    </sheetView>
  </sheetViews>
  <sheetFormatPr defaultRowHeight="13.8"/>
  <cols>
    <col min="1" max="8" width="8.88671875" style="56"/>
    <col min="9" max="9" width="16.77734375" style="56" bestFit="1" customWidth="1"/>
    <col min="10" max="10" width="12.6640625" style="56" bestFit="1" customWidth="1"/>
    <col min="11" max="11" width="13.21875" style="56" bestFit="1" customWidth="1"/>
    <col min="12" max="12" width="12.6640625" style="56" bestFit="1" customWidth="1"/>
    <col min="13" max="13" width="12.109375" style="56" bestFit="1" customWidth="1"/>
    <col min="14" max="14" width="13" style="56" bestFit="1" customWidth="1"/>
    <col min="15" max="15" width="12.109375" style="56" bestFit="1" customWidth="1"/>
    <col min="16" max="16" width="12.6640625" style="56" bestFit="1" customWidth="1"/>
    <col min="17" max="17" width="12.21875" style="56" bestFit="1" customWidth="1"/>
    <col min="18" max="16384" width="8.88671875" style="56"/>
  </cols>
  <sheetData>
    <row r="1" spans="2:17" ht="14.4" thickBot="1"/>
    <row r="2" spans="2:17" ht="15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  <c r="I2" t="s">
        <v>157</v>
      </c>
      <c r="J2"/>
      <c r="K2"/>
      <c r="L2"/>
      <c r="M2"/>
      <c r="N2"/>
      <c r="O2"/>
      <c r="P2"/>
      <c r="Q2"/>
    </row>
    <row r="3" spans="2:17" ht="15" thickBot="1">
      <c r="B3" s="225" t="s">
        <v>51</v>
      </c>
      <c r="C3" s="226">
        <v>3.2</v>
      </c>
      <c r="D3" s="181">
        <v>22</v>
      </c>
      <c r="E3" s="227">
        <v>550</v>
      </c>
      <c r="F3" s="227">
        <f>$J$18+$J$19*C3+$J$20*D3</f>
        <v>555.36373267414149</v>
      </c>
      <c r="G3" s="227">
        <f>(E3-F3)^2</f>
        <v>28.769628199652999</v>
      </c>
      <c r="I3"/>
      <c r="J3"/>
      <c r="K3"/>
      <c r="L3"/>
      <c r="M3"/>
      <c r="N3"/>
      <c r="O3"/>
      <c r="P3"/>
      <c r="Q3"/>
    </row>
    <row r="4" spans="2:17" ht="14.4">
      <c r="B4" s="228" t="s">
        <v>55</v>
      </c>
      <c r="C4" s="229">
        <v>2.7</v>
      </c>
      <c r="D4" s="182">
        <v>27</v>
      </c>
      <c r="E4" s="230">
        <v>570</v>
      </c>
      <c r="F4" s="230">
        <f t="shared" ref="F4:F7" si="0">$J$18+$J$19*C4+$J$20*D4</f>
        <v>584.20852829522391</v>
      </c>
      <c r="G4" s="227">
        <f t="shared" ref="G4:G7" si="1">(E4-F4)^2</f>
        <v>201.88227631617858</v>
      </c>
      <c r="I4" s="291" t="s">
        <v>158</v>
      </c>
      <c r="J4" s="291"/>
      <c r="K4"/>
      <c r="L4"/>
      <c r="M4"/>
      <c r="N4"/>
      <c r="O4"/>
      <c r="P4"/>
      <c r="Q4"/>
    </row>
    <row r="5" spans="2:17" ht="14.4">
      <c r="B5" s="228" t="s">
        <v>159</v>
      </c>
      <c r="C5" s="229">
        <v>2.5</v>
      </c>
      <c r="D5" s="182">
        <v>24</v>
      </c>
      <c r="E5" s="230">
        <v>525</v>
      </c>
      <c r="F5" s="230">
        <f t="shared" si="0"/>
        <v>523.08157499779293</v>
      </c>
      <c r="G5" s="227">
        <f t="shared" si="1"/>
        <v>3.6803544890932072</v>
      </c>
      <c r="I5" t="s">
        <v>160</v>
      </c>
      <c r="J5">
        <v>0.98928820282730667</v>
      </c>
      <c r="K5"/>
      <c r="L5"/>
      <c r="M5"/>
      <c r="N5"/>
      <c r="O5"/>
      <c r="P5"/>
      <c r="Q5"/>
    </row>
    <row r="6" spans="2:17" ht="14.4">
      <c r="B6" s="228" t="s">
        <v>161</v>
      </c>
      <c r="C6" s="229">
        <v>3.4</v>
      </c>
      <c r="D6" s="182">
        <v>28</v>
      </c>
      <c r="E6" s="230">
        <v>670</v>
      </c>
      <c r="F6" s="230">
        <f t="shared" si="0"/>
        <v>660.08960889909076</v>
      </c>
      <c r="G6" s="227">
        <f t="shared" si="1"/>
        <v>98.215851772980997</v>
      </c>
      <c r="I6" t="s">
        <v>162</v>
      </c>
      <c r="J6">
        <v>0.97869114825328229</v>
      </c>
      <c r="K6"/>
      <c r="L6"/>
      <c r="M6"/>
      <c r="N6"/>
      <c r="O6"/>
      <c r="P6"/>
      <c r="Q6"/>
    </row>
    <row r="7" spans="2:17" ht="15" thickBot="1">
      <c r="B7" s="232" t="s">
        <v>163</v>
      </c>
      <c r="C7" s="233">
        <v>2.2000000000000002</v>
      </c>
      <c r="D7" s="183">
        <v>23</v>
      </c>
      <c r="E7" s="234">
        <v>490</v>
      </c>
      <c r="F7" s="234">
        <f t="shared" si="0"/>
        <v>482.25655513375125</v>
      </c>
      <c r="G7" s="227">
        <f t="shared" si="1"/>
        <v>59.960938396634141</v>
      </c>
      <c r="I7" t="s">
        <v>164</v>
      </c>
      <c r="J7">
        <v>0.95738229650656459</v>
      </c>
      <c r="K7"/>
      <c r="L7"/>
      <c r="M7"/>
      <c r="N7"/>
      <c r="O7"/>
      <c r="P7"/>
      <c r="Q7"/>
    </row>
    <row r="8" spans="2:17" ht="15" thickBot="1">
      <c r="G8" s="235">
        <f>SUM(G3:G7)</f>
        <v>392.50904917453994</v>
      </c>
      <c r="I8" t="s">
        <v>165</v>
      </c>
      <c r="J8">
        <v>14.009087214635695</v>
      </c>
      <c r="K8"/>
      <c r="L8"/>
      <c r="M8"/>
      <c r="N8"/>
      <c r="O8"/>
      <c r="P8"/>
      <c r="Q8"/>
    </row>
    <row r="9" spans="2:17" ht="15" thickBot="1">
      <c r="I9" s="289" t="s">
        <v>166</v>
      </c>
      <c r="J9" s="289">
        <v>5</v>
      </c>
      <c r="K9"/>
      <c r="L9"/>
      <c r="M9"/>
      <c r="N9"/>
      <c r="O9"/>
      <c r="P9"/>
      <c r="Q9"/>
    </row>
    <row r="10" spans="2:17" ht="15" thickBot="1">
      <c r="B10" s="237" t="s">
        <v>152</v>
      </c>
      <c r="C10" s="224" t="s">
        <v>153</v>
      </c>
      <c r="D10" s="222" t="s">
        <v>155</v>
      </c>
      <c r="I10"/>
      <c r="J10"/>
      <c r="K10"/>
      <c r="L10"/>
      <c r="M10"/>
      <c r="N10"/>
      <c r="O10"/>
      <c r="P10"/>
      <c r="Q10"/>
    </row>
    <row r="11" spans="2:17" ht="15" thickBot="1">
      <c r="B11" s="238">
        <v>3</v>
      </c>
      <c r="C11" s="181">
        <v>25</v>
      </c>
      <c r="D11" s="227">
        <f>$J$18+$J$19*B11+$J$20*C11</f>
        <v>581.43462523174719</v>
      </c>
      <c r="I11" t="s">
        <v>167</v>
      </c>
      <c r="J11"/>
      <c r="K11"/>
      <c r="L11"/>
      <c r="M11"/>
      <c r="N11"/>
      <c r="O11"/>
      <c r="P11"/>
      <c r="Q11"/>
    </row>
    <row r="12" spans="2:17" ht="15" thickBot="1">
      <c r="B12" s="239">
        <v>2.6</v>
      </c>
      <c r="C12" s="183">
        <v>26</v>
      </c>
      <c r="D12" s="227">
        <f>$J$18+$J$19*B12+$J$20*C12</f>
        <v>560.91153880109482</v>
      </c>
      <c r="G12" s="240"/>
      <c r="I12" s="290"/>
      <c r="J12" s="290" t="s">
        <v>168</v>
      </c>
      <c r="K12" s="290" t="s">
        <v>169</v>
      </c>
      <c r="L12" s="290" t="s">
        <v>170</v>
      </c>
      <c r="M12" s="290" t="s">
        <v>171</v>
      </c>
      <c r="N12" s="290" t="s">
        <v>172</v>
      </c>
      <c r="O12"/>
      <c r="P12"/>
      <c r="Q12"/>
    </row>
    <row r="13" spans="2:17" ht="14.4">
      <c r="I13" t="s">
        <v>173</v>
      </c>
      <c r="J13">
        <v>2</v>
      </c>
      <c r="K13">
        <v>18027.49095082546</v>
      </c>
      <c r="L13">
        <v>9013.7454754127302</v>
      </c>
      <c r="M13">
        <v>45.928854350588743</v>
      </c>
      <c r="N13">
        <v>2.1308851746717622E-2</v>
      </c>
      <c r="O13"/>
      <c r="P13"/>
      <c r="Q13"/>
    </row>
    <row r="14" spans="2:17" ht="14.4">
      <c r="I14" t="s">
        <v>174</v>
      </c>
      <c r="J14">
        <v>2</v>
      </c>
      <c r="K14" s="292">
        <v>392.50904917453863</v>
      </c>
      <c r="L14">
        <v>196.25452458726932</v>
      </c>
      <c r="M14"/>
      <c r="N14"/>
      <c r="O14"/>
      <c r="P14"/>
      <c r="Q14"/>
    </row>
    <row r="15" spans="2:17" ht="15" thickBot="1">
      <c r="I15" s="289" t="s">
        <v>59</v>
      </c>
      <c r="J15" s="289">
        <v>4</v>
      </c>
      <c r="K15" s="289">
        <v>18420</v>
      </c>
      <c r="L15" s="289"/>
      <c r="M15" s="289"/>
      <c r="N15" s="289"/>
      <c r="O15"/>
      <c r="P15"/>
      <c r="Q15"/>
    </row>
    <row r="16" spans="2:17" ht="15" thickBot="1">
      <c r="I16"/>
      <c r="J16"/>
      <c r="K16"/>
      <c r="L16"/>
      <c r="M16"/>
      <c r="N16"/>
      <c r="O16"/>
      <c r="P16"/>
      <c r="Q16"/>
    </row>
    <row r="17" spans="9:17" ht="14.4">
      <c r="I17" s="290"/>
      <c r="J17" s="290" t="s">
        <v>175</v>
      </c>
      <c r="K17" s="290" t="s">
        <v>165</v>
      </c>
      <c r="L17" s="290" t="s">
        <v>176</v>
      </c>
      <c r="M17" s="290" t="s">
        <v>177</v>
      </c>
      <c r="N17" s="290" t="s">
        <v>178</v>
      </c>
      <c r="O17" s="290" t="s">
        <v>179</v>
      </c>
      <c r="P17" s="290" t="s">
        <v>180</v>
      </c>
      <c r="Q17" s="290" t="s">
        <v>181</v>
      </c>
    </row>
    <row r="18" spans="9:17" ht="14.4">
      <c r="I18" t="s">
        <v>182</v>
      </c>
      <c r="J18" s="292">
        <v>-44.81018804626126</v>
      </c>
      <c r="K18">
        <v>69.246866630890381</v>
      </c>
      <c r="L18">
        <v>-0.64710780756499753</v>
      </c>
      <c r="M18">
        <v>0.58391574508017841</v>
      </c>
      <c r="N18">
        <v>-342.75540778225883</v>
      </c>
      <c r="O18">
        <v>253.13503168973631</v>
      </c>
      <c r="P18">
        <v>-342.75540778225883</v>
      </c>
      <c r="Q18">
        <v>253.13503168973631</v>
      </c>
    </row>
    <row r="19" spans="9:17" ht="14.4">
      <c r="I19" t="s">
        <v>152</v>
      </c>
      <c r="J19" s="292">
        <v>87.640151849563026</v>
      </c>
      <c r="K19">
        <v>15.237186664924886</v>
      </c>
      <c r="L19">
        <v>5.7517279125618073</v>
      </c>
      <c r="M19">
        <v>2.8922600815111749E-2</v>
      </c>
      <c r="N19">
        <v>22.079829052021836</v>
      </c>
      <c r="O19">
        <v>153.20047464710422</v>
      </c>
      <c r="P19">
        <v>22.079829052021836</v>
      </c>
      <c r="Q19">
        <v>153.20047464710422</v>
      </c>
    </row>
    <row r="20" spans="9:17" ht="15" thickBot="1">
      <c r="I20" s="289" t="s">
        <v>153</v>
      </c>
      <c r="J20" s="293">
        <v>14.532974309172776</v>
      </c>
      <c r="K20" s="289">
        <v>2.9137375361504319</v>
      </c>
      <c r="L20" s="289">
        <v>4.9877431061870565</v>
      </c>
      <c r="M20" s="289">
        <v>3.7924876930238542E-2</v>
      </c>
      <c r="N20" s="289">
        <v>1.9961735454816427</v>
      </c>
      <c r="O20" s="289">
        <v>27.069775072863909</v>
      </c>
      <c r="P20" s="289">
        <v>1.9961735454816427</v>
      </c>
      <c r="Q20" s="289">
        <v>27.069775072863909</v>
      </c>
    </row>
    <row r="21" spans="9:17" ht="14.4">
      <c r="I21"/>
      <c r="J21"/>
      <c r="K21"/>
      <c r="L21"/>
      <c r="M21"/>
      <c r="N21"/>
      <c r="O21"/>
      <c r="P21"/>
      <c r="Q21"/>
    </row>
    <row r="22" spans="9:17" ht="14.4">
      <c r="I22"/>
      <c r="J22"/>
      <c r="K22"/>
      <c r="L22"/>
      <c r="M22"/>
      <c r="N22"/>
      <c r="O22"/>
      <c r="P22"/>
      <c r="Q22"/>
    </row>
    <row r="23" spans="9:17" ht="14.4">
      <c r="I23"/>
      <c r="J23"/>
      <c r="K23"/>
      <c r="L23"/>
      <c r="M23"/>
      <c r="N23"/>
      <c r="O23"/>
      <c r="P23"/>
      <c r="Q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tabSelected="1" zoomScale="85" zoomScaleNormal="85" workbookViewId="0"/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308" t="s">
        <v>63</v>
      </c>
      <c r="I61" s="308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6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309" t="s">
        <v>76</v>
      </c>
      <c r="K1" s="309"/>
      <c r="L1" s="309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5" priority="2" bottom="1" rank="5"/>
  </conditionalFormatting>
  <conditionalFormatting sqref="H2:H16">
    <cfRule type="top10" dxfId="4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309" t="s">
        <v>76</v>
      </c>
      <c r="K1" s="309"/>
      <c r="L1" s="309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/>
      <c r="F2" s="47"/>
      <c r="G2" s="43"/>
      <c r="H2" s="45"/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/>
      <c r="F3" s="54"/>
      <c r="G3" s="50"/>
      <c r="H3" s="52"/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/>
      <c r="F4" s="54"/>
      <c r="G4" s="50"/>
      <c r="H4" s="52"/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/>
      <c r="F5" s="54"/>
      <c r="G5" s="50"/>
      <c r="H5" s="52"/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/>
      <c r="F6" s="54"/>
      <c r="G6" s="50"/>
      <c r="H6" s="52"/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/>
      <c r="F7" s="54"/>
      <c r="G7" s="50"/>
      <c r="H7" s="52"/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/>
      <c r="F8" s="54"/>
      <c r="G8" s="50"/>
      <c r="H8" s="52"/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/>
      <c r="F9" s="54"/>
      <c r="G9" s="50"/>
      <c r="H9" s="52"/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/>
      <c r="F10" s="54"/>
      <c r="G10" s="50"/>
      <c r="H10" s="52"/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/>
      <c r="F11" s="54"/>
      <c r="G11" s="50"/>
      <c r="H11" s="52"/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/>
      <c r="F12" s="54"/>
      <c r="G12" s="50"/>
      <c r="H12" s="52"/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/>
      <c r="F13" s="54"/>
      <c r="G13" s="50"/>
      <c r="H13" s="52"/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/>
      <c r="F14" s="54"/>
      <c r="G14" s="50"/>
      <c r="H14" s="52"/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/>
      <c r="F15" s="54"/>
      <c r="G15" s="50"/>
      <c r="H15" s="52"/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/>
      <c r="F16" s="62"/>
      <c r="G16" s="58"/>
      <c r="H16" s="60"/>
    </row>
  </sheetData>
  <mergeCells count="1">
    <mergeCell ref="J1:L1"/>
  </mergeCells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310" t="s">
        <v>76</v>
      </c>
      <c r="M2" s="310"/>
      <c r="N2" s="310"/>
      <c r="O2" s="310"/>
      <c r="P2" s="310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3" priority="4" bottom="1" rank="5"/>
  </conditionalFormatting>
  <conditionalFormatting sqref="H2:H151">
    <cfRule type="top10" dxfId="2" priority="3" bottom="1" rank="5"/>
  </conditionalFormatting>
  <conditionalFormatting sqref="I2:I151">
    <cfRule type="top10" dxfId="1" priority="2" bottom="1" rank="5"/>
  </conditionalFormatting>
  <conditionalFormatting sqref="J2:J151">
    <cfRule type="top10" dxfId="0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/>
      <c r="H2" s="84"/>
      <c r="I2" s="85"/>
      <c r="J2" s="82"/>
      <c r="L2" s="310" t="s">
        <v>76</v>
      </c>
      <c r="M2" s="310"/>
      <c r="N2" s="310"/>
      <c r="O2" s="310"/>
      <c r="P2" s="310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/>
      <c r="H3" s="52"/>
      <c r="I3" s="101"/>
      <c r="J3" s="70"/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/>
      <c r="H4" s="52"/>
      <c r="I4" s="101"/>
      <c r="J4" s="70"/>
      <c r="L4" s="92">
        <v>6.7</v>
      </c>
      <c r="M4" s="93">
        <v>2.75</v>
      </c>
      <c r="N4" s="93">
        <v>4.0999999999999996</v>
      </c>
      <c r="O4" s="94">
        <v>1.5</v>
      </c>
      <c r="P4" s="95"/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/>
      <c r="H5" s="52"/>
      <c r="I5" s="101"/>
      <c r="J5" s="70"/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/>
      <c r="H6" s="52"/>
      <c r="I6" s="101"/>
      <c r="J6" s="70"/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/>
      <c r="H7" s="52"/>
      <c r="I7" s="101"/>
      <c r="J7" s="70"/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/>
      <c r="H8" s="52"/>
      <c r="I8" s="101"/>
      <c r="J8" s="70"/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/>
      <c r="H9" s="52"/>
      <c r="I9" s="101"/>
      <c r="J9" s="70"/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/>
      <c r="H10" s="52"/>
      <c r="I10" s="101"/>
      <c r="J10" s="70"/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/>
      <c r="H11" s="52"/>
      <c r="I11" s="101"/>
      <c r="J11" s="70"/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/>
      <c r="H12" s="52"/>
      <c r="I12" s="101"/>
      <c r="J12" s="70"/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/>
      <c r="H13" s="52"/>
      <c r="I13" s="101"/>
      <c r="J13" s="70"/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/>
      <c r="H14" s="52"/>
      <c r="I14" s="101"/>
      <c r="J14" s="70"/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/>
      <c r="H15" s="52"/>
      <c r="I15" s="101"/>
      <c r="J15" s="70"/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/>
      <c r="H16" s="52"/>
      <c r="I16" s="101"/>
      <c r="J16" s="70"/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/>
      <c r="H17" s="52"/>
      <c r="I17" s="101"/>
      <c r="J17" s="70"/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/>
      <c r="H18" s="52"/>
      <c r="I18" s="101"/>
      <c r="J18" s="70"/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/>
      <c r="H19" s="52"/>
      <c r="I19" s="101"/>
      <c r="J19" s="70"/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/>
      <c r="H20" s="52"/>
      <c r="I20" s="101"/>
      <c r="J20" s="70"/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/>
      <c r="H21" s="52"/>
      <c r="I21" s="101"/>
      <c r="J21" s="70"/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/>
      <c r="H22" s="52"/>
      <c r="I22" s="101"/>
      <c r="J22" s="70"/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/>
      <c r="H23" s="52"/>
      <c r="I23" s="101"/>
      <c r="J23" s="70"/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/>
      <c r="H24" s="52"/>
      <c r="I24" s="101"/>
      <c r="J24" s="70"/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/>
      <c r="H25" s="52"/>
      <c r="I25" s="101"/>
      <c r="J25" s="70"/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/>
      <c r="H26" s="52"/>
      <c r="I26" s="101"/>
      <c r="J26" s="70"/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/>
      <c r="H27" s="52"/>
      <c r="I27" s="101"/>
      <c r="J27" s="70"/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/>
      <c r="H28" s="52"/>
      <c r="I28" s="101"/>
      <c r="J28" s="70"/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/>
      <c r="H29" s="52"/>
      <c r="I29" s="101"/>
      <c r="J29" s="70"/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/>
      <c r="H30" s="52"/>
      <c r="I30" s="101"/>
      <c r="J30" s="70"/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/>
      <c r="H31" s="52"/>
      <c r="I31" s="101"/>
      <c r="J31" s="70"/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/>
      <c r="H32" s="52"/>
      <c r="I32" s="101"/>
      <c r="J32" s="70"/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/>
      <c r="H33" s="52"/>
      <c r="I33" s="101"/>
      <c r="J33" s="70"/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/>
      <c r="H34" s="52"/>
      <c r="I34" s="101"/>
      <c r="J34" s="70"/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/>
      <c r="H35" s="52"/>
      <c r="I35" s="101"/>
      <c r="J35" s="70"/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/>
      <c r="H36" s="52"/>
      <c r="I36" s="101"/>
      <c r="J36" s="70"/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/>
      <c r="H37" s="52"/>
      <c r="I37" s="101"/>
      <c r="J37" s="70"/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/>
      <c r="H38" s="52"/>
      <c r="I38" s="101"/>
      <c r="J38" s="70"/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/>
      <c r="H39" s="52"/>
      <c r="I39" s="101"/>
      <c r="J39" s="70"/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/>
      <c r="H40" s="52"/>
      <c r="I40" s="101"/>
      <c r="J40" s="70"/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/>
      <c r="H41" s="52"/>
      <c r="I41" s="101"/>
      <c r="J41" s="70"/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/>
      <c r="H42" s="52"/>
      <c r="I42" s="101"/>
      <c r="J42" s="70"/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/>
      <c r="H43" s="52"/>
      <c r="I43" s="101"/>
      <c r="J43" s="70"/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/>
      <c r="H44" s="52"/>
      <c r="I44" s="101"/>
      <c r="J44" s="70"/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/>
      <c r="H45" s="52"/>
      <c r="I45" s="101"/>
      <c r="J45" s="70"/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/>
      <c r="H46" s="52"/>
      <c r="I46" s="101"/>
      <c r="J46" s="70"/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/>
      <c r="H47" s="52"/>
      <c r="I47" s="101"/>
      <c r="J47" s="70"/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/>
      <c r="H48" s="52"/>
      <c r="I48" s="101"/>
      <c r="J48" s="70"/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/>
      <c r="H49" s="52"/>
      <c r="I49" s="101"/>
      <c r="J49" s="70"/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/>
      <c r="H50" s="52"/>
      <c r="I50" s="101"/>
      <c r="J50" s="70"/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/>
      <c r="H51" s="52"/>
      <c r="I51" s="101"/>
      <c r="J51" s="70"/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/>
      <c r="H52" s="52"/>
      <c r="I52" s="101"/>
      <c r="J52" s="70"/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/>
      <c r="H53" s="52"/>
      <c r="I53" s="101"/>
      <c r="J53" s="70"/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/>
      <c r="H54" s="52"/>
      <c r="I54" s="101"/>
      <c r="J54" s="70"/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/>
      <c r="H55" s="52"/>
      <c r="I55" s="101"/>
      <c r="J55" s="70"/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/>
      <c r="H56" s="52"/>
      <c r="I56" s="101"/>
      <c r="J56" s="70"/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/>
      <c r="H57" s="52"/>
      <c r="I57" s="101"/>
      <c r="J57" s="70"/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/>
      <c r="H58" s="52"/>
      <c r="I58" s="101"/>
      <c r="J58" s="70"/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/>
      <c r="H59" s="52"/>
      <c r="I59" s="101"/>
      <c r="J59" s="70"/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/>
      <c r="H60" s="52"/>
      <c r="I60" s="101"/>
      <c r="J60" s="70"/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/>
      <c r="H61" s="52"/>
      <c r="I61" s="101"/>
      <c r="J61" s="70"/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/>
      <c r="H62" s="52"/>
      <c r="I62" s="101"/>
      <c r="J62" s="70"/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/>
      <c r="H63" s="52"/>
      <c r="I63" s="101"/>
      <c r="J63" s="70"/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/>
      <c r="H64" s="52"/>
      <c r="I64" s="101"/>
      <c r="J64" s="70"/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/>
      <c r="H65" s="52"/>
      <c r="I65" s="101"/>
      <c r="J65" s="70"/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/>
      <c r="H66" s="52"/>
      <c r="I66" s="101"/>
      <c r="J66" s="70"/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/>
      <c r="H67" s="52"/>
      <c r="I67" s="101"/>
      <c r="J67" s="70"/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/>
      <c r="H68" s="52"/>
      <c r="I68" s="101"/>
      <c r="J68" s="70"/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/>
      <c r="H69" s="52"/>
      <c r="I69" s="101"/>
      <c r="J69" s="70"/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/>
      <c r="H70" s="52"/>
      <c r="I70" s="101"/>
      <c r="J70" s="70"/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/>
      <c r="H71" s="52"/>
      <c r="I71" s="101"/>
      <c r="J71" s="70"/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/>
      <c r="H72" s="52"/>
      <c r="I72" s="101"/>
      <c r="J72" s="70"/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/>
      <c r="H73" s="52"/>
      <c r="I73" s="101"/>
      <c r="J73" s="70"/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/>
      <c r="H74" s="52"/>
      <c r="I74" s="101"/>
      <c r="J74" s="70"/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/>
      <c r="H75" s="52"/>
      <c r="I75" s="101"/>
      <c r="J75" s="70"/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/>
      <c r="H76" s="52"/>
      <c r="I76" s="101"/>
      <c r="J76" s="70"/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/>
      <c r="H77" s="52"/>
      <c r="I77" s="101"/>
      <c r="J77" s="70"/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/>
      <c r="H78" s="52"/>
      <c r="I78" s="101"/>
      <c r="J78" s="70"/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/>
      <c r="H79" s="52"/>
      <c r="I79" s="101"/>
      <c r="J79" s="70"/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/>
      <c r="H80" s="52"/>
      <c r="I80" s="101"/>
      <c r="J80" s="70"/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/>
      <c r="H81" s="52"/>
      <c r="I81" s="101"/>
      <c r="J81" s="70"/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/>
      <c r="H82" s="52"/>
      <c r="I82" s="101"/>
      <c r="J82" s="70"/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/>
      <c r="H83" s="52"/>
      <c r="I83" s="101"/>
      <c r="J83" s="70"/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/>
      <c r="H84" s="52"/>
      <c r="I84" s="101"/>
      <c r="J84" s="70"/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/>
      <c r="H85" s="52"/>
      <c r="I85" s="101"/>
      <c r="J85" s="70"/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/>
      <c r="H86" s="52"/>
      <c r="I86" s="101"/>
      <c r="J86" s="70"/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/>
      <c r="H87" s="52"/>
      <c r="I87" s="101"/>
      <c r="J87" s="70"/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/>
      <c r="H88" s="52"/>
      <c r="I88" s="101"/>
      <c r="J88" s="70"/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/>
      <c r="H89" s="52"/>
      <c r="I89" s="101"/>
      <c r="J89" s="70"/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/>
      <c r="H90" s="52"/>
      <c r="I90" s="101"/>
      <c r="J90" s="70"/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/>
      <c r="H91" s="52"/>
      <c r="I91" s="101"/>
      <c r="J91" s="70"/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/>
      <c r="H92" s="52"/>
      <c r="I92" s="101"/>
      <c r="J92" s="70"/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/>
      <c r="H93" s="52"/>
      <c r="I93" s="101"/>
      <c r="J93" s="70"/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/>
      <c r="H94" s="52"/>
      <c r="I94" s="101"/>
      <c r="J94" s="70"/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/>
      <c r="H95" s="52"/>
      <c r="I95" s="101"/>
      <c r="J95" s="70"/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/>
      <c r="H96" s="52"/>
      <c r="I96" s="101"/>
      <c r="J96" s="70"/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/>
      <c r="H97" s="52"/>
      <c r="I97" s="101"/>
      <c r="J97" s="70"/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/>
      <c r="H98" s="52"/>
      <c r="I98" s="101"/>
      <c r="J98" s="70"/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/>
      <c r="H99" s="52"/>
      <c r="I99" s="101"/>
      <c r="J99" s="70"/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/>
      <c r="H100" s="52"/>
      <c r="I100" s="101"/>
      <c r="J100" s="70"/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/>
      <c r="H101" s="52"/>
      <c r="I101" s="101"/>
      <c r="J101" s="70"/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/>
      <c r="H102" s="52"/>
      <c r="I102" s="101"/>
      <c r="J102" s="70"/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/>
      <c r="H103" s="52"/>
      <c r="I103" s="101"/>
      <c r="J103" s="70"/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/>
      <c r="H104" s="52"/>
      <c r="I104" s="101"/>
      <c r="J104" s="70"/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/>
      <c r="H105" s="52"/>
      <c r="I105" s="101"/>
      <c r="J105" s="70"/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/>
      <c r="H106" s="52"/>
      <c r="I106" s="101"/>
      <c r="J106" s="70"/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/>
      <c r="H107" s="52"/>
      <c r="I107" s="101"/>
      <c r="J107" s="70"/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/>
      <c r="H108" s="52"/>
      <c r="I108" s="101"/>
      <c r="J108" s="70"/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/>
      <c r="H109" s="52"/>
      <c r="I109" s="101"/>
      <c r="J109" s="70"/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/>
      <c r="H110" s="52"/>
      <c r="I110" s="101"/>
      <c r="J110" s="70"/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/>
      <c r="H111" s="52"/>
      <c r="I111" s="101"/>
      <c r="J111" s="70"/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/>
      <c r="H112" s="52"/>
      <c r="I112" s="101"/>
      <c r="J112" s="70"/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/>
      <c r="H113" s="52"/>
      <c r="I113" s="101"/>
      <c r="J113" s="70"/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/>
      <c r="H114" s="52"/>
      <c r="I114" s="101"/>
      <c r="J114" s="70"/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/>
      <c r="H115" s="52"/>
      <c r="I115" s="101"/>
      <c r="J115" s="70"/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/>
      <c r="H116" s="52"/>
      <c r="I116" s="101"/>
      <c r="J116" s="70"/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/>
      <c r="H117" s="52"/>
      <c r="I117" s="101"/>
      <c r="J117" s="70"/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/>
      <c r="H118" s="52"/>
      <c r="I118" s="101"/>
      <c r="J118" s="70"/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/>
      <c r="H119" s="52"/>
      <c r="I119" s="101"/>
      <c r="J119" s="70"/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/>
      <c r="H120" s="52"/>
      <c r="I120" s="101"/>
      <c r="J120" s="70"/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/>
      <c r="H121" s="52"/>
      <c r="I121" s="101"/>
      <c r="J121" s="70"/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/>
      <c r="H122" s="52"/>
      <c r="I122" s="101"/>
      <c r="J122" s="70"/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/>
      <c r="H123" s="52"/>
      <c r="I123" s="101"/>
      <c r="J123" s="70"/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/>
      <c r="H124" s="52"/>
      <c r="I124" s="101"/>
      <c r="J124" s="70"/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/>
      <c r="H125" s="52"/>
      <c r="I125" s="101"/>
      <c r="J125" s="70"/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/>
      <c r="H126" s="52"/>
      <c r="I126" s="101"/>
      <c r="J126" s="70"/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/>
      <c r="H127" s="52"/>
      <c r="I127" s="101"/>
      <c r="J127" s="70"/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/>
      <c r="H128" s="52"/>
      <c r="I128" s="101"/>
      <c r="J128" s="70"/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/>
      <c r="H129" s="52"/>
      <c r="I129" s="101"/>
      <c r="J129" s="70"/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/>
      <c r="H130" s="52"/>
      <c r="I130" s="101"/>
      <c r="J130" s="70"/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/>
      <c r="H131" s="52"/>
      <c r="I131" s="101"/>
      <c r="J131" s="70"/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/>
      <c r="H132" s="52"/>
      <c r="I132" s="101"/>
      <c r="J132" s="70"/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/>
      <c r="H133" s="52"/>
      <c r="I133" s="101"/>
      <c r="J133" s="70"/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/>
      <c r="H134" s="52"/>
      <c r="I134" s="101"/>
      <c r="J134" s="70"/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/>
      <c r="H135" s="52"/>
      <c r="I135" s="101"/>
      <c r="J135" s="70"/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/>
      <c r="H136" s="52"/>
      <c r="I136" s="101"/>
      <c r="J136" s="70"/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/>
      <c r="H137" s="52"/>
      <c r="I137" s="101"/>
      <c r="J137" s="70"/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/>
      <c r="H138" s="52"/>
      <c r="I138" s="101"/>
      <c r="J138" s="70"/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/>
      <c r="H139" s="52"/>
      <c r="I139" s="101"/>
      <c r="J139" s="70"/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/>
      <c r="H140" s="52"/>
      <c r="I140" s="101"/>
      <c r="J140" s="70"/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/>
      <c r="H141" s="52"/>
      <c r="I141" s="101"/>
      <c r="J141" s="70"/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/>
      <c r="H142" s="52"/>
      <c r="I142" s="101"/>
      <c r="J142" s="70"/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/>
      <c r="H143" s="52"/>
      <c r="I143" s="101"/>
      <c r="J143" s="70"/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/>
      <c r="H144" s="52"/>
      <c r="I144" s="101"/>
      <c r="J144" s="70"/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/>
      <c r="H145" s="52"/>
      <c r="I145" s="101"/>
      <c r="J145" s="70"/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/>
      <c r="H146" s="52"/>
      <c r="I146" s="101"/>
      <c r="J146" s="70"/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/>
      <c r="H147" s="52"/>
      <c r="I147" s="101"/>
      <c r="J147" s="70"/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/>
      <c r="H148" s="52"/>
      <c r="I148" s="101"/>
      <c r="J148" s="70"/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/>
      <c r="H149" s="52"/>
      <c r="I149" s="101"/>
      <c r="J149" s="70"/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/>
      <c r="H150" s="52"/>
      <c r="I150" s="101"/>
      <c r="J150" s="70"/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/>
      <c r="H151" s="60"/>
      <c r="I151" s="102"/>
      <c r="J151" s="99"/>
    </row>
  </sheetData>
  <mergeCells count="1">
    <mergeCell ref="L2:P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311" t="s">
        <v>92</v>
      </c>
      <c r="F2" s="312"/>
      <c r="H2" s="311" t="s">
        <v>92</v>
      </c>
      <c r="I2" s="312"/>
      <c r="K2" s="311" t="s">
        <v>92</v>
      </c>
      <c r="L2" s="312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313" t="s">
        <v>108</v>
      </c>
      <c r="C19" s="313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zoomScale="120" zoomScaleNormal="12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311" t="s">
        <v>92</v>
      </c>
      <c r="F2" s="312"/>
      <c r="H2" s="311" t="s">
        <v>92</v>
      </c>
      <c r="I2" s="312"/>
      <c r="K2" s="311" t="s">
        <v>92</v>
      </c>
      <c r="L2" s="312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/>
      <c r="F4" s="273"/>
      <c r="G4" s="26"/>
      <c r="H4" s="272"/>
      <c r="I4" s="273"/>
      <c r="J4" s="274"/>
      <c r="K4" s="273"/>
      <c r="L4" s="273"/>
      <c r="M4" s="274"/>
    </row>
    <row r="5" spans="2:13">
      <c r="B5" s="106">
        <v>2</v>
      </c>
      <c r="C5" s="107">
        <v>1.5</v>
      </c>
      <c r="D5" s="108">
        <v>2</v>
      </c>
      <c r="E5" s="275"/>
      <c r="F5" s="280"/>
      <c r="H5" s="275"/>
      <c r="I5" s="280"/>
      <c r="J5" s="276"/>
      <c r="K5" s="280"/>
      <c r="L5" s="280"/>
      <c r="M5" s="276"/>
    </row>
    <row r="6" spans="2:13">
      <c r="B6" s="106">
        <v>3</v>
      </c>
      <c r="C6" s="107">
        <v>3</v>
      </c>
      <c r="D6" s="108">
        <v>4</v>
      </c>
      <c r="E6" s="275"/>
      <c r="F6" s="280"/>
      <c r="H6" s="275"/>
      <c r="I6" s="280"/>
      <c r="J6" s="276"/>
      <c r="K6" s="280"/>
      <c r="L6" s="280"/>
      <c r="M6" s="276"/>
    </row>
    <row r="7" spans="2:13">
      <c r="B7" s="106">
        <v>4</v>
      </c>
      <c r="C7" s="107">
        <v>5</v>
      </c>
      <c r="D7" s="108">
        <v>7</v>
      </c>
      <c r="E7" s="275"/>
      <c r="F7" s="280"/>
      <c r="H7" s="275"/>
      <c r="I7" s="280"/>
      <c r="J7" s="276"/>
      <c r="K7" s="280"/>
      <c r="L7" s="280"/>
      <c r="M7" s="276"/>
    </row>
    <row r="8" spans="2:13">
      <c r="B8" s="106">
        <v>5</v>
      </c>
      <c r="C8" s="107">
        <v>3.5</v>
      </c>
      <c r="D8" s="108">
        <v>5</v>
      </c>
      <c r="E8" s="275"/>
      <c r="F8" s="280"/>
      <c r="H8" s="275"/>
      <c r="I8" s="280"/>
      <c r="J8" s="276"/>
      <c r="K8" s="280"/>
      <c r="L8" s="280"/>
      <c r="M8" s="276"/>
    </row>
    <row r="9" spans="2:13">
      <c r="B9" s="106">
        <v>6</v>
      </c>
      <c r="C9" s="107">
        <v>4.5</v>
      </c>
      <c r="D9" s="108">
        <v>5</v>
      </c>
      <c r="E9" s="275"/>
      <c r="F9" s="280"/>
      <c r="H9" s="275"/>
      <c r="I9" s="280"/>
      <c r="J9" s="276"/>
      <c r="K9" s="280"/>
      <c r="L9" s="280"/>
      <c r="M9" s="276"/>
    </row>
    <row r="10" spans="2:13" ht="15" thickBot="1">
      <c r="B10" s="109">
        <v>7</v>
      </c>
      <c r="C10" s="110">
        <v>3.5</v>
      </c>
      <c r="D10" s="111">
        <v>4.5</v>
      </c>
      <c r="E10" s="277"/>
      <c r="F10" s="278"/>
      <c r="G10" s="29"/>
      <c r="H10" s="277"/>
      <c r="I10" s="278"/>
      <c r="J10" s="279"/>
      <c r="K10" s="278"/>
      <c r="L10" s="278"/>
      <c r="M10" s="279"/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/>
      <c r="D14" s="114"/>
    </row>
    <row r="15" spans="2:13" ht="15" thickBot="1">
      <c r="B15" s="21" t="s">
        <v>105</v>
      </c>
      <c r="C15" s="110"/>
      <c r="D15" s="115"/>
    </row>
    <row r="16" spans="2:13">
      <c r="B16" s="112" t="s">
        <v>106</v>
      </c>
      <c r="C16" s="107"/>
      <c r="D16" s="116"/>
    </row>
    <row r="17" spans="2:6" ht="15" thickBot="1">
      <c r="B17" s="21" t="s">
        <v>107</v>
      </c>
      <c r="C17" s="110"/>
      <c r="D17" s="115"/>
    </row>
    <row r="19" spans="2:6" ht="15" thickBot="1">
      <c r="B19" s="313" t="s">
        <v>108</v>
      </c>
      <c r="C19" s="313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/>
      <c r="E21" s="121"/>
      <c r="F21" s="122"/>
    </row>
  </sheetData>
  <mergeCells count="4">
    <mergeCell ref="E2:F2"/>
    <mergeCell ref="H2:I2"/>
    <mergeCell ref="K2:L2"/>
    <mergeCell ref="B19:C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314" t="s">
        <v>112</v>
      </c>
      <c r="C1" s="315"/>
      <c r="D1" s="315"/>
      <c r="E1" s="315"/>
      <c r="F1" s="315"/>
      <c r="G1" s="315"/>
      <c r="H1" s="315"/>
      <c r="I1" s="315"/>
      <c r="J1" s="315"/>
      <c r="K1" s="315"/>
      <c r="L1" s="316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294" t="s">
        <v>130</v>
      </c>
      <c r="D2" s="295"/>
      <c r="E2" s="295"/>
      <c r="F2" s="295"/>
      <c r="G2" s="295"/>
      <c r="H2" s="295"/>
      <c r="I2" s="295"/>
      <c r="J2" s="295"/>
      <c r="K2" s="296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297" t="s">
        <v>137</v>
      </c>
      <c r="D17" s="298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299" t="s">
        <v>138</v>
      </c>
      <c r="E18" s="300"/>
      <c r="F18" s="300"/>
      <c r="G18" s="300"/>
      <c r="H18" s="300"/>
      <c r="I18" s="300"/>
      <c r="J18" s="300"/>
      <c r="K18" s="301"/>
    </row>
    <row r="19" spans="3:12" ht="15" thickBot="1">
      <c r="C19" s="57" t="s">
        <v>135</v>
      </c>
      <c r="D19" s="302" t="s">
        <v>139</v>
      </c>
      <c r="E19" s="303"/>
      <c r="F19" s="303"/>
      <c r="G19" s="303"/>
      <c r="H19" s="303"/>
      <c r="I19" s="303"/>
      <c r="J19" s="303"/>
      <c r="K19" s="304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2026-08-31T04:39:50Z</dcterms:modified>
</cp:coreProperties>
</file>